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1.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2680" windowHeight="10896" tabRatio="771"/>
  </bookViews>
  <sheets>
    <sheet name="Introduction" sheetId="15" r:id="rId1"/>
    <sheet name="Table 1a" sheetId="1" r:id="rId2"/>
    <sheet name="Table 1b" sheetId="19" r:id="rId3"/>
    <sheet name="Table 1c" sheetId="27" r:id="rId4"/>
    <sheet name="Table 1d" sheetId="31" r:id="rId5"/>
    <sheet name="Table 1e" sheetId="36" r:id="rId6"/>
    <sheet name="Table 1f" sheetId="54" r:id="rId7"/>
    <sheet name="Table 1g" sheetId="56" r:id="rId8"/>
    <sheet name="Table 1h" sheetId="64" r:id="rId9"/>
    <sheet name="Table 1i" sheetId="73" r:id="rId10"/>
    <sheet name="Table 1j" sheetId="75" r:id="rId11"/>
    <sheet name="Table 2a" sheetId="3" r:id="rId12"/>
    <sheet name="Table 2b" sheetId="22" r:id="rId13"/>
    <sheet name="Table 2c" sheetId="32" r:id="rId14"/>
    <sheet name="Table 3a" sheetId="5" r:id="rId15"/>
    <sheet name="Table 3b" sheetId="25" r:id="rId16"/>
    <sheet name="Table 3c" sheetId="33" r:id="rId17"/>
    <sheet name="Table 4" sheetId="7" r:id="rId18"/>
    <sheet name="Table 5" sheetId="18" r:id="rId19"/>
    <sheet name="Table 6" sheetId="37" r:id="rId20"/>
    <sheet name="Table 7a" sheetId="59" r:id="rId21"/>
    <sheet name="Table 7b" sheetId="60" r:id="rId22"/>
    <sheet name="Table 8a" sheetId="68" r:id="rId23"/>
    <sheet name="Table 8b" sheetId="69" r:id="rId24"/>
    <sheet name="Table 8c" sheetId="70" r:id="rId25"/>
    <sheet name="Appendix 1" sheetId="71" r:id="rId26"/>
  </sheets>
  <definedNames>
    <definedName name="_xlnm._FilterDatabase" localSheetId="4" hidden="1">'Table 1d'!$A$11:$C$55</definedName>
    <definedName name="_xlnm._FilterDatabase" localSheetId="6" hidden="1">'Table 1f'!$A$11:$C$119</definedName>
    <definedName name="_xlnm._FilterDatabase" localSheetId="9" hidden="1">'Table 1i'!$A$15:$D$143</definedName>
    <definedName name="_xlnm._FilterDatabase" localSheetId="18" hidden="1">'Table 5'!$A$79:$I$146</definedName>
    <definedName name="_Sort" localSheetId="25" hidden="1">#REF!</definedName>
    <definedName name="_Sort" localSheetId="9" hidden="1">#REF!</definedName>
    <definedName name="_Sort" localSheetId="10" hidden="1">#REF!</definedName>
    <definedName name="_Sort" localSheetId="22" hidden="1">#REF!</definedName>
    <definedName name="_Sort" localSheetId="23" hidden="1">#REF!</definedName>
    <definedName name="_Sort" localSheetId="24" hidden="1">#REF!</definedName>
    <definedName name="_Sort" hidden="1">#REF!</definedName>
    <definedName name="AVON" localSheetId="25">#REF!</definedName>
    <definedName name="AVON" localSheetId="9">#REF!</definedName>
    <definedName name="AVON" localSheetId="10">#REF!</definedName>
    <definedName name="AVON" localSheetId="22">#REF!</definedName>
    <definedName name="AVON" localSheetId="23">#REF!</definedName>
    <definedName name="AVON" localSheetId="24">#REF!</definedName>
    <definedName name="AVON">#REF!</definedName>
    <definedName name="BEDS" localSheetId="25">#REF!</definedName>
    <definedName name="BEDS" localSheetId="9">#REF!</definedName>
    <definedName name="BEDS" localSheetId="10">#REF!</definedName>
    <definedName name="BEDS" localSheetId="22">#REF!</definedName>
    <definedName name="BEDS" localSheetId="23">#REF!</definedName>
    <definedName name="BEDS" localSheetId="24">#REF!</definedName>
    <definedName name="BEDS">#REF!</definedName>
    <definedName name="BEDS1" localSheetId="9">#REF!</definedName>
    <definedName name="BEDS1" localSheetId="10">#REF!</definedName>
    <definedName name="BEDS1">#REF!</definedName>
    <definedName name="BERKS" localSheetId="25">#REF!</definedName>
    <definedName name="BERKS" localSheetId="9">#REF!</definedName>
    <definedName name="BERKS" localSheetId="10">#REF!</definedName>
    <definedName name="BERKS" localSheetId="22">#REF!</definedName>
    <definedName name="BERKS" localSheetId="23">#REF!</definedName>
    <definedName name="BERKS" localSheetId="24">#REF!</definedName>
    <definedName name="BERKS">#REF!</definedName>
    <definedName name="BUCKS" localSheetId="25">#REF!</definedName>
    <definedName name="BUCKS" localSheetId="9">#REF!</definedName>
    <definedName name="BUCKS" localSheetId="10">#REF!</definedName>
    <definedName name="BUCKS" localSheetId="22">#REF!</definedName>
    <definedName name="BUCKS" localSheetId="23">#REF!</definedName>
    <definedName name="BUCKS" localSheetId="24">#REF!</definedName>
    <definedName name="BUCKS">#REF!</definedName>
    <definedName name="CAMBS" localSheetId="25">#REF!</definedName>
    <definedName name="CAMBS" localSheetId="9">#REF!</definedName>
    <definedName name="CAMBS" localSheetId="10">#REF!</definedName>
    <definedName name="CAMBS" localSheetId="22">#REF!</definedName>
    <definedName name="CAMBS" localSheetId="23">#REF!</definedName>
    <definedName name="CAMBS" localSheetId="24">#REF!</definedName>
    <definedName name="CAMBS">#REF!</definedName>
    <definedName name="CHESHIRE" localSheetId="25">#REF!</definedName>
    <definedName name="CHESHIRE" localSheetId="9">#REF!</definedName>
    <definedName name="CHESHIRE" localSheetId="10">#REF!</definedName>
    <definedName name="CHESHIRE" localSheetId="22">#REF!</definedName>
    <definedName name="CHESHIRE" localSheetId="23">#REF!</definedName>
    <definedName name="CHESHIRE" localSheetId="24">#REF!</definedName>
    <definedName name="CHESHIRE">#REF!</definedName>
    <definedName name="CLEVELAND" localSheetId="25">#REF!</definedName>
    <definedName name="CLEVELAND" localSheetId="9">#REF!</definedName>
    <definedName name="CLEVELAND" localSheetId="10">#REF!</definedName>
    <definedName name="CLEVELAND" localSheetId="22">#REF!</definedName>
    <definedName name="CLEVELAND" localSheetId="23">#REF!</definedName>
    <definedName name="CLEVELAND" localSheetId="24">#REF!</definedName>
    <definedName name="CLEVELAND">#REF!</definedName>
    <definedName name="CLWYD" localSheetId="25">#REF!</definedName>
    <definedName name="CLWYD" localSheetId="9">#REF!</definedName>
    <definedName name="CLWYD" localSheetId="10">#REF!</definedName>
    <definedName name="CLWYD" localSheetId="22">#REF!</definedName>
    <definedName name="CLWYD" localSheetId="23">#REF!</definedName>
    <definedName name="CLWYD" localSheetId="24">#REF!</definedName>
    <definedName name="CLWYD">#REF!</definedName>
    <definedName name="components_by_LA" localSheetId="25">#REF!</definedName>
    <definedName name="components_by_LA" localSheetId="9">#REF!</definedName>
    <definedName name="components_by_LA" localSheetId="10">#REF!</definedName>
    <definedName name="components_by_LA" localSheetId="22">#REF!</definedName>
    <definedName name="components_by_LA" localSheetId="23">#REF!</definedName>
    <definedName name="components_by_LA" localSheetId="24">#REF!</definedName>
    <definedName name="components_by_LA">#REF!</definedName>
    <definedName name="CORNWALL" localSheetId="25">#REF!</definedName>
    <definedName name="CORNWALL" localSheetId="9">#REF!</definedName>
    <definedName name="CORNWALL" localSheetId="10">#REF!</definedName>
    <definedName name="CORNWALL" localSheetId="22">#REF!</definedName>
    <definedName name="CORNWALL" localSheetId="23">#REF!</definedName>
    <definedName name="CORNWALL" localSheetId="24">#REF!</definedName>
    <definedName name="CORNWALL">#REF!</definedName>
    <definedName name="CUMBRIA" localSheetId="25">#REF!</definedName>
    <definedName name="CUMBRIA" localSheetId="9">#REF!</definedName>
    <definedName name="CUMBRIA" localSheetId="10">#REF!</definedName>
    <definedName name="CUMBRIA" localSheetId="22">#REF!</definedName>
    <definedName name="CUMBRIA" localSheetId="23">#REF!</definedName>
    <definedName name="CUMBRIA" localSheetId="24">#REF!</definedName>
    <definedName name="CUMBRIA">#REF!</definedName>
    <definedName name="_xlnm.Database" localSheetId="25">#REF!</definedName>
    <definedName name="_xlnm.Database" localSheetId="9">#REF!</definedName>
    <definedName name="_xlnm.Database" localSheetId="10">#REF!</definedName>
    <definedName name="_xlnm.Database" localSheetId="22">#REF!</definedName>
    <definedName name="_xlnm.Database" localSheetId="23">#REF!</definedName>
    <definedName name="_xlnm.Database" localSheetId="24">#REF!</definedName>
    <definedName name="_xlnm.Database">#REF!</definedName>
    <definedName name="DERBYSHIRE" localSheetId="25">#REF!</definedName>
    <definedName name="DERBYSHIRE" localSheetId="9">#REF!</definedName>
    <definedName name="DERBYSHIRE" localSheetId="10">#REF!</definedName>
    <definedName name="DERBYSHIRE" localSheetId="22">#REF!</definedName>
    <definedName name="DERBYSHIRE" localSheetId="23">#REF!</definedName>
    <definedName name="DERBYSHIRE" localSheetId="24">#REF!</definedName>
    <definedName name="DERBYSHIRE">#REF!</definedName>
    <definedName name="DEVON" localSheetId="25">#REF!</definedName>
    <definedName name="DEVON" localSheetId="9">#REF!</definedName>
    <definedName name="DEVON" localSheetId="10">#REF!</definedName>
    <definedName name="DEVON" localSheetId="22">#REF!</definedName>
    <definedName name="DEVON" localSheetId="23">#REF!</definedName>
    <definedName name="DEVON" localSheetId="24">#REF!</definedName>
    <definedName name="DEVON">#REF!</definedName>
    <definedName name="DORSET" localSheetId="25">#REF!</definedName>
    <definedName name="DORSET" localSheetId="9">#REF!</definedName>
    <definedName name="DORSET" localSheetId="10">#REF!</definedName>
    <definedName name="DORSET" localSheetId="22">#REF!</definedName>
    <definedName name="DORSET" localSheetId="23">#REF!</definedName>
    <definedName name="DORSET" localSheetId="24">#REF!</definedName>
    <definedName name="DORSET">#REF!</definedName>
    <definedName name="DURHAM" localSheetId="25">#REF!</definedName>
    <definedName name="DURHAM" localSheetId="9">#REF!</definedName>
    <definedName name="DURHAM" localSheetId="10">#REF!</definedName>
    <definedName name="DURHAM" localSheetId="22">#REF!</definedName>
    <definedName name="DURHAM" localSheetId="23">#REF!</definedName>
    <definedName name="DURHAM" localSheetId="24">#REF!</definedName>
    <definedName name="DURHAM">#REF!</definedName>
    <definedName name="DYFED" localSheetId="25">#REF!</definedName>
    <definedName name="DYFED" localSheetId="9">#REF!</definedName>
    <definedName name="DYFED" localSheetId="10">#REF!</definedName>
    <definedName name="DYFED" localSheetId="22">#REF!</definedName>
    <definedName name="DYFED" localSheetId="23">#REF!</definedName>
    <definedName name="DYFED" localSheetId="24">#REF!</definedName>
    <definedName name="DYFED">#REF!</definedName>
    <definedName name="E_SUSSEX" localSheetId="25">#REF!</definedName>
    <definedName name="E_SUSSEX" localSheetId="9">#REF!</definedName>
    <definedName name="E_SUSSEX" localSheetId="10">#REF!</definedName>
    <definedName name="E_SUSSEX" localSheetId="22">#REF!</definedName>
    <definedName name="E_SUSSEX" localSheetId="23">#REF!</definedName>
    <definedName name="E_SUSSEX" localSheetId="24">#REF!</definedName>
    <definedName name="E_SUSSEX">#REF!</definedName>
    <definedName name="ESSEX" localSheetId="25">#REF!</definedName>
    <definedName name="ESSEX" localSheetId="9">#REF!</definedName>
    <definedName name="ESSEX" localSheetId="10">#REF!</definedName>
    <definedName name="ESSEX" localSheetId="22">#REF!</definedName>
    <definedName name="ESSEX" localSheetId="23">#REF!</definedName>
    <definedName name="ESSEX" localSheetId="24">#REF!</definedName>
    <definedName name="ESSEX">#REF!</definedName>
    <definedName name="females_UK" localSheetId="25">#REF!</definedName>
    <definedName name="females_UK" localSheetId="9">#REF!</definedName>
    <definedName name="females_UK" localSheetId="10">#REF!</definedName>
    <definedName name="females_UK" localSheetId="22">#REF!</definedName>
    <definedName name="females_UK" localSheetId="23">#REF!</definedName>
    <definedName name="females_UK" localSheetId="24">#REF!</definedName>
    <definedName name="females_UK">#REF!</definedName>
    <definedName name="GLOS" localSheetId="25">#REF!</definedName>
    <definedName name="GLOS" localSheetId="9">#REF!</definedName>
    <definedName name="GLOS" localSheetId="10">#REF!</definedName>
    <definedName name="GLOS" localSheetId="22">#REF!</definedName>
    <definedName name="GLOS" localSheetId="23">#REF!</definedName>
    <definedName name="GLOS" localSheetId="24">#REF!</definedName>
    <definedName name="GLOS">#REF!</definedName>
    <definedName name="GTR_MAN" localSheetId="25">#REF!</definedName>
    <definedName name="GTR_MAN" localSheetId="9">#REF!</definedName>
    <definedName name="GTR_MAN" localSheetId="10">#REF!</definedName>
    <definedName name="GTR_MAN" localSheetId="22">#REF!</definedName>
    <definedName name="GTR_MAN" localSheetId="23">#REF!</definedName>
    <definedName name="GTR_MAN" localSheetId="24">#REF!</definedName>
    <definedName name="GTR_MAN">#REF!</definedName>
    <definedName name="GWENT" localSheetId="25">#REF!</definedName>
    <definedName name="GWENT" localSheetId="9">#REF!</definedName>
    <definedName name="GWENT" localSheetId="10">#REF!</definedName>
    <definedName name="GWENT" localSheetId="22">#REF!</definedName>
    <definedName name="GWENT" localSheetId="23">#REF!</definedName>
    <definedName name="GWENT" localSheetId="24">#REF!</definedName>
    <definedName name="GWENT">#REF!</definedName>
    <definedName name="GWYNEDD" localSheetId="25">#REF!</definedName>
    <definedName name="GWYNEDD" localSheetId="9">#REF!</definedName>
    <definedName name="GWYNEDD" localSheetId="10">#REF!</definedName>
    <definedName name="GWYNEDD" localSheetId="22">#REF!</definedName>
    <definedName name="GWYNEDD" localSheetId="23">#REF!</definedName>
    <definedName name="GWYNEDD" localSheetId="24">#REF!</definedName>
    <definedName name="GWYNEDD">#REF!</definedName>
    <definedName name="HANTS" localSheetId="25">#REF!</definedName>
    <definedName name="HANTS" localSheetId="9">#REF!</definedName>
    <definedName name="HANTS" localSheetId="10">#REF!</definedName>
    <definedName name="HANTS" localSheetId="22">#REF!</definedName>
    <definedName name="HANTS" localSheetId="23">#REF!</definedName>
    <definedName name="HANTS" localSheetId="24">#REF!</definedName>
    <definedName name="HANTS">#REF!</definedName>
    <definedName name="HEREFORD_W" localSheetId="25">#REF!</definedName>
    <definedName name="HEREFORD_W" localSheetId="9">#REF!</definedName>
    <definedName name="HEREFORD_W" localSheetId="10">#REF!</definedName>
    <definedName name="HEREFORD_W" localSheetId="22">#REF!</definedName>
    <definedName name="HEREFORD_W" localSheetId="23">#REF!</definedName>
    <definedName name="HEREFORD_W" localSheetId="24">#REF!</definedName>
    <definedName name="HEREFORD_W">#REF!</definedName>
    <definedName name="HERTS" localSheetId="25">#REF!</definedName>
    <definedName name="HERTS" localSheetId="9">#REF!</definedName>
    <definedName name="HERTS" localSheetId="10">#REF!</definedName>
    <definedName name="HERTS" localSheetId="22">#REF!</definedName>
    <definedName name="HERTS" localSheetId="23">#REF!</definedName>
    <definedName name="HERTS" localSheetId="24">#REF!</definedName>
    <definedName name="HERTS">#REF!</definedName>
    <definedName name="HUMBERSIDE" localSheetId="25">#REF!</definedName>
    <definedName name="HUMBERSIDE" localSheetId="9">#REF!</definedName>
    <definedName name="HUMBERSIDE" localSheetId="10">#REF!</definedName>
    <definedName name="HUMBERSIDE" localSheetId="22">#REF!</definedName>
    <definedName name="HUMBERSIDE" localSheetId="23">#REF!</definedName>
    <definedName name="HUMBERSIDE" localSheetId="24">#REF!</definedName>
    <definedName name="HUMBERSIDE">#REF!</definedName>
    <definedName name="I_OF_WIGHT" localSheetId="25">#REF!</definedName>
    <definedName name="I_OF_WIGHT" localSheetId="9">#REF!</definedName>
    <definedName name="I_OF_WIGHT" localSheetId="10">#REF!</definedName>
    <definedName name="I_OF_WIGHT" localSheetId="22">#REF!</definedName>
    <definedName name="I_OF_WIGHT" localSheetId="23">#REF!</definedName>
    <definedName name="I_OF_WIGHT" localSheetId="24">#REF!</definedName>
    <definedName name="I_OF_WIGHT">#REF!</definedName>
    <definedName name="KENT" localSheetId="25">#REF!</definedName>
    <definedName name="KENT" localSheetId="9">#REF!</definedName>
    <definedName name="KENT" localSheetId="10">#REF!</definedName>
    <definedName name="KENT" localSheetId="22">#REF!</definedName>
    <definedName name="KENT" localSheetId="23">#REF!</definedName>
    <definedName name="KENT" localSheetId="24">#REF!</definedName>
    <definedName name="KENT">#REF!</definedName>
    <definedName name="LANCS" localSheetId="25">#REF!</definedName>
    <definedName name="LANCS" localSheetId="9">#REF!</definedName>
    <definedName name="LANCS" localSheetId="10">#REF!</definedName>
    <definedName name="LANCS" localSheetId="22">#REF!</definedName>
    <definedName name="LANCS" localSheetId="23">#REF!</definedName>
    <definedName name="LANCS" localSheetId="24">#REF!</definedName>
    <definedName name="LANCS">#REF!</definedName>
    <definedName name="LEICS" localSheetId="25">#REF!</definedName>
    <definedName name="LEICS" localSheetId="9">#REF!</definedName>
    <definedName name="LEICS" localSheetId="10">#REF!</definedName>
    <definedName name="LEICS" localSheetId="22">#REF!</definedName>
    <definedName name="LEICS" localSheetId="23">#REF!</definedName>
    <definedName name="LEICS" localSheetId="24">#REF!</definedName>
    <definedName name="LEICS">#REF!</definedName>
    <definedName name="LINCS" localSheetId="25">#REF!</definedName>
    <definedName name="LINCS" localSheetId="9">#REF!</definedName>
    <definedName name="LINCS" localSheetId="10">#REF!</definedName>
    <definedName name="LINCS" localSheetId="22">#REF!</definedName>
    <definedName name="LINCS" localSheetId="23">#REF!</definedName>
    <definedName name="LINCS" localSheetId="24">#REF!</definedName>
    <definedName name="LINCS">#REF!</definedName>
    <definedName name="LONDON" localSheetId="25">#REF!</definedName>
    <definedName name="LONDON" localSheetId="9">#REF!</definedName>
    <definedName name="LONDON" localSheetId="10">#REF!</definedName>
    <definedName name="LONDON" localSheetId="22">#REF!</definedName>
    <definedName name="LONDON" localSheetId="23">#REF!</definedName>
    <definedName name="LONDON" localSheetId="24">#REF!</definedName>
    <definedName name="LONDON">#REF!</definedName>
    <definedName name="M_GLAM" localSheetId="25">#REF!</definedName>
    <definedName name="M_GLAM" localSheetId="9">#REF!</definedName>
    <definedName name="M_GLAM" localSheetId="10">#REF!</definedName>
    <definedName name="M_GLAM" localSheetId="22">#REF!</definedName>
    <definedName name="M_GLAM" localSheetId="23">#REF!</definedName>
    <definedName name="M_GLAM" localSheetId="24">#REF!</definedName>
    <definedName name="M_GLAM">#REF!</definedName>
    <definedName name="males_UK" localSheetId="25">#REF!</definedName>
    <definedName name="males_UK" localSheetId="9">#REF!</definedName>
    <definedName name="males_UK" localSheetId="10">#REF!</definedName>
    <definedName name="males_UK" localSheetId="22">#REF!</definedName>
    <definedName name="males_UK" localSheetId="23">#REF!</definedName>
    <definedName name="males_UK" localSheetId="24">#REF!</definedName>
    <definedName name="males_UK">#REF!</definedName>
    <definedName name="MERSEYSIDE" localSheetId="25">#REF!</definedName>
    <definedName name="MERSEYSIDE" localSheetId="9">#REF!</definedName>
    <definedName name="MERSEYSIDE" localSheetId="10">#REF!</definedName>
    <definedName name="MERSEYSIDE" localSheetId="22">#REF!</definedName>
    <definedName name="MERSEYSIDE" localSheetId="23">#REF!</definedName>
    <definedName name="MERSEYSIDE" localSheetId="24">#REF!</definedName>
    <definedName name="MERSEYSIDE">#REF!</definedName>
    <definedName name="N_YORKS" localSheetId="25">#REF!</definedName>
    <definedName name="N_YORKS" localSheetId="9">#REF!</definedName>
    <definedName name="N_YORKS" localSheetId="10">#REF!</definedName>
    <definedName name="N_YORKS" localSheetId="22">#REF!</definedName>
    <definedName name="N_YORKS" localSheetId="23">#REF!</definedName>
    <definedName name="N_YORKS" localSheetId="24">#REF!</definedName>
    <definedName name="N_YORKS">#REF!</definedName>
    <definedName name="new">#REF!</definedName>
    <definedName name="NORFOLK" localSheetId="25">#REF!</definedName>
    <definedName name="NORFOLK" localSheetId="9">#REF!</definedName>
    <definedName name="NORFOLK" localSheetId="10">#REF!</definedName>
    <definedName name="NORFOLK" localSheetId="22">#REF!</definedName>
    <definedName name="NORFOLK" localSheetId="23">#REF!</definedName>
    <definedName name="NORFOLK" localSheetId="24">#REF!</definedName>
    <definedName name="NORFOLK">#REF!</definedName>
    <definedName name="NORTHANTS" localSheetId="25">#REF!</definedName>
    <definedName name="NORTHANTS" localSheetId="9">#REF!</definedName>
    <definedName name="NORTHANTS" localSheetId="10">#REF!</definedName>
    <definedName name="NORTHANTS" localSheetId="22">#REF!</definedName>
    <definedName name="NORTHANTS" localSheetId="23">#REF!</definedName>
    <definedName name="NORTHANTS" localSheetId="24">#REF!</definedName>
    <definedName name="NORTHANTS">#REF!</definedName>
    <definedName name="NORTHUMBERLAND" localSheetId="25">#REF!</definedName>
    <definedName name="NORTHUMBERLAND" localSheetId="9">#REF!</definedName>
    <definedName name="NORTHUMBERLAND" localSheetId="10">#REF!</definedName>
    <definedName name="NORTHUMBERLAND" localSheetId="22">#REF!</definedName>
    <definedName name="NORTHUMBERLAND" localSheetId="23">#REF!</definedName>
    <definedName name="NORTHUMBERLAND" localSheetId="24">#REF!</definedName>
    <definedName name="NORTHUMBERLAND">#REF!</definedName>
    <definedName name="NOTTS" localSheetId="25">#REF!</definedName>
    <definedName name="NOTTS" localSheetId="9">#REF!</definedName>
    <definedName name="NOTTS" localSheetId="10">#REF!</definedName>
    <definedName name="NOTTS" localSheetId="22">#REF!</definedName>
    <definedName name="NOTTS" localSheetId="23">#REF!</definedName>
    <definedName name="NOTTS" localSheetId="24">#REF!</definedName>
    <definedName name="NOTTS">#REF!</definedName>
    <definedName name="OXON" localSheetId="25">#REF!</definedName>
    <definedName name="OXON" localSheetId="9">#REF!</definedName>
    <definedName name="OXON" localSheetId="10">#REF!</definedName>
    <definedName name="OXON" localSheetId="22">#REF!</definedName>
    <definedName name="OXON" localSheetId="23">#REF!</definedName>
    <definedName name="OXON" localSheetId="24">#REF!</definedName>
    <definedName name="OXON">#REF!</definedName>
    <definedName name="persons_UK" localSheetId="25">#REF!</definedName>
    <definedName name="persons_UK" localSheetId="9">#REF!</definedName>
    <definedName name="persons_UK" localSheetId="10">#REF!</definedName>
    <definedName name="persons_UK" localSheetId="22">#REF!</definedName>
    <definedName name="persons_UK" localSheetId="23">#REF!</definedName>
    <definedName name="persons_UK" localSheetId="24">#REF!</definedName>
    <definedName name="persons_UK">#REF!</definedName>
    <definedName name="POWYS" localSheetId="25">#REF!</definedName>
    <definedName name="POWYS" localSheetId="9">#REF!</definedName>
    <definedName name="POWYS" localSheetId="10">#REF!</definedName>
    <definedName name="POWYS" localSheetId="22">#REF!</definedName>
    <definedName name="POWYS" localSheetId="23">#REF!</definedName>
    <definedName name="POWYS" localSheetId="24">#REF!</definedName>
    <definedName name="POWYS">#REF!</definedName>
    <definedName name="_xlnm.Print_Area" localSheetId="0">Introduction!$A$1:$L$66</definedName>
    <definedName name="_xlnm.Print_Area" localSheetId="1">'Table 1a'!$A$1:$AI$58</definedName>
    <definedName name="_xlnm.Print_Area" localSheetId="2">'Table 1b'!$A$1:$M$36</definedName>
    <definedName name="_xlnm.Print_Area" localSheetId="3">'Table 1c'!$A$1:$V$50</definedName>
    <definedName name="_xlnm.Print_Area" localSheetId="4">'Table 1d'!$A$1:$F$66</definedName>
    <definedName name="_xlnm.Print_Area" localSheetId="5">'Table 1e'!$A$1:$M$39</definedName>
    <definedName name="_xlnm.Print_Area" localSheetId="9">'Table 1i'!$A$1:$G$154</definedName>
    <definedName name="_xlnm.Print_Area" localSheetId="10">'Table 1j'!$A$1:$G$143</definedName>
    <definedName name="_xlnm.Print_Area" localSheetId="12">'Table 2b'!$A$1:$S$38</definedName>
    <definedName name="_xlnm.Print_Area" localSheetId="13">'Table 2c'!$A$1:$K$52</definedName>
    <definedName name="_xlnm.Print_Area" localSheetId="15">'Table 3b'!$A$1:$L$36</definedName>
    <definedName name="_xlnm.Print_Area" localSheetId="16">'Table 3c'!$A$1:$H$55</definedName>
    <definedName name="_xlnm.Print_Area" localSheetId="19">'Table 6'!$A$1:$M$72</definedName>
    <definedName name="_xlnm.Print_Area" localSheetId="20">'Table 7a'!$A$1:$H$36</definedName>
    <definedName name="_xlnm.Print_Area" localSheetId="21">'Table 7b'!$A$1:$V$49</definedName>
    <definedName name="S_GLAM" localSheetId="25">#REF!</definedName>
    <definedName name="S_GLAM" localSheetId="9">#REF!</definedName>
    <definedName name="S_GLAM" localSheetId="10">#REF!</definedName>
    <definedName name="S_GLAM" localSheetId="22">#REF!</definedName>
    <definedName name="S_GLAM" localSheetId="23">#REF!</definedName>
    <definedName name="S_GLAM" localSheetId="24">#REF!</definedName>
    <definedName name="S_GLAM">#REF!</definedName>
    <definedName name="S_YORKS" localSheetId="25">#REF!</definedName>
    <definedName name="S_YORKS" localSheetId="9">#REF!</definedName>
    <definedName name="S_YORKS" localSheetId="10">#REF!</definedName>
    <definedName name="S_YORKS" localSheetId="22">#REF!</definedName>
    <definedName name="S_YORKS" localSheetId="23">#REF!</definedName>
    <definedName name="S_YORKS" localSheetId="24">#REF!</definedName>
    <definedName name="S_YORKS">#REF!</definedName>
    <definedName name="SAM_CTRY_UK" localSheetId="25">#REF!</definedName>
    <definedName name="SAM_CTRY_UK" localSheetId="9">#REF!</definedName>
    <definedName name="SAM_CTRY_UK" localSheetId="10">#REF!</definedName>
    <definedName name="SAM_CTRY_UK" localSheetId="22">#REF!</definedName>
    <definedName name="SAM_CTRY_UK" localSheetId="23">#REF!</definedName>
    <definedName name="SAM_CTRY_UK" localSheetId="24">#REF!</definedName>
    <definedName name="SAM_CTRY_UK">#REF!</definedName>
    <definedName name="sheet1" localSheetId="25">#REF!</definedName>
    <definedName name="sheet1" localSheetId="9">#REF!</definedName>
    <definedName name="sheet1" localSheetId="10">#REF!</definedName>
    <definedName name="sheet1" localSheetId="22">#REF!</definedName>
    <definedName name="sheet1" localSheetId="23">#REF!</definedName>
    <definedName name="sheet1" localSheetId="24">#REF!</definedName>
    <definedName name="sheet1">#REF!</definedName>
    <definedName name="SHROPS" localSheetId="25">#REF!</definedName>
    <definedName name="SHROPS" localSheetId="9">#REF!</definedName>
    <definedName name="SHROPS" localSheetId="10">#REF!</definedName>
    <definedName name="SHROPS" localSheetId="22">#REF!</definedName>
    <definedName name="SHROPS" localSheetId="23">#REF!</definedName>
    <definedName name="SHROPS" localSheetId="24">#REF!</definedName>
    <definedName name="SHROPS">#REF!</definedName>
    <definedName name="SOMERSET" localSheetId="25">#REF!</definedName>
    <definedName name="SOMERSET" localSheetId="9">#REF!</definedName>
    <definedName name="SOMERSET" localSheetId="10">#REF!</definedName>
    <definedName name="SOMERSET" localSheetId="22">#REF!</definedName>
    <definedName name="SOMERSET" localSheetId="23">#REF!</definedName>
    <definedName name="SOMERSET" localSheetId="24">#REF!</definedName>
    <definedName name="SOMERSET">#REF!</definedName>
    <definedName name="STAFFS" localSheetId="25">#REF!</definedName>
    <definedName name="STAFFS" localSheetId="9">#REF!</definedName>
    <definedName name="STAFFS" localSheetId="10">#REF!</definedName>
    <definedName name="STAFFS" localSheetId="22">#REF!</definedName>
    <definedName name="STAFFS" localSheetId="23">#REF!</definedName>
    <definedName name="STAFFS" localSheetId="24">#REF!</definedName>
    <definedName name="STAFFS">#REF!</definedName>
    <definedName name="SUFFOLK" localSheetId="25">#REF!</definedName>
    <definedName name="SUFFOLK" localSheetId="9">#REF!</definedName>
    <definedName name="SUFFOLK" localSheetId="10">#REF!</definedName>
    <definedName name="SUFFOLK" localSheetId="22">#REF!</definedName>
    <definedName name="SUFFOLK" localSheetId="23">#REF!</definedName>
    <definedName name="SUFFOLK" localSheetId="24">#REF!</definedName>
    <definedName name="SUFFOLK">#REF!</definedName>
    <definedName name="SURREY" localSheetId="25">#REF!</definedName>
    <definedName name="SURREY" localSheetId="9">#REF!</definedName>
    <definedName name="SURREY" localSheetId="10">#REF!</definedName>
    <definedName name="SURREY" localSheetId="22">#REF!</definedName>
    <definedName name="SURREY" localSheetId="23">#REF!</definedName>
    <definedName name="SURREY" localSheetId="24">#REF!</definedName>
    <definedName name="SURREY">#REF!</definedName>
    <definedName name="TYNE_WEAR" localSheetId="25">#REF!</definedName>
    <definedName name="TYNE_WEAR" localSheetId="9">#REF!</definedName>
    <definedName name="TYNE_WEAR" localSheetId="10">#REF!</definedName>
    <definedName name="TYNE_WEAR" localSheetId="22">#REF!</definedName>
    <definedName name="TYNE_WEAR" localSheetId="23">#REF!</definedName>
    <definedName name="TYNE_WEAR" localSheetId="24">#REF!</definedName>
    <definedName name="TYNE_WEAR">#REF!</definedName>
    <definedName name="UK" localSheetId="25">#REF!</definedName>
    <definedName name="UK" localSheetId="9">#REF!</definedName>
    <definedName name="UK" localSheetId="10">#REF!</definedName>
    <definedName name="UK" localSheetId="22">#REF!</definedName>
    <definedName name="UK" localSheetId="23">#REF!</definedName>
    <definedName name="UK" localSheetId="24">#REF!</definedName>
    <definedName name="UK">#REF!</definedName>
    <definedName name="W_GLAM" localSheetId="25">#REF!</definedName>
    <definedName name="W_GLAM" localSheetId="9">#REF!</definedName>
    <definedName name="W_GLAM" localSheetId="10">#REF!</definedName>
    <definedName name="W_GLAM" localSheetId="22">#REF!</definedName>
    <definedName name="W_GLAM" localSheetId="23">#REF!</definedName>
    <definedName name="W_GLAM" localSheetId="24">#REF!</definedName>
    <definedName name="W_GLAM">#REF!</definedName>
    <definedName name="W_MIDS" localSheetId="25">#REF!</definedName>
    <definedName name="W_MIDS" localSheetId="9">#REF!</definedName>
    <definedName name="W_MIDS" localSheetId="10">#REF!</definedName>
    <definedName name="W_MIDS" localSheetId="22">#REF!</definedName>
    <definedName name="W_MIDS" localSheetId="23">#REF!</definedName>
    <definedName name="W_MIDS" localSheetId="24">#REF!</definedName>
    <definedName name="W_MIDS">#REF!</definedName>
    <definedName name="W_SUSSEX" localSheetId="25">#REF!</definedName>
    <definedName name="W_SUSSEX" localSheetId="9">#REF!</definedName>
    <definedName name="W_SUSSEX" localSheetId="10">#REF!</definedName>
    <definedName name="W_SUSSEX" localSheetId="22">#REF!</definedName>
    <definedName name="W_SUSSEX" localSheetId="23">#REF!</definedName>
    <definedName name="W_SUSSEX" localSheetId="24">#REF!</definedName>
    <definedName name="W_SUSSEX">#REF!</definedName>
    <definedName name="W_YORKS" localSheetId="25">#REF!</definedName>
    <definedName name="W_YORKS" localSheetId="9">#REF!</definedName>
    <definedName name="W_YORKS" localSheetId="10">#REF!</definedName>
    <definedName name="W_YORKS" localSheetId="22">#REF!</definedName>
    <definedName name="W_YORKS" localSheetId="23">#REF!</definedName>
    <definedName name="W_YORKS" localSheetId="24">#REF!</definedName>
    <definedName name="W_YORKS">#REF!</definedName>
    <definedName name="WARWICKS" localSheetId="25">#REF!</definedName>
    <definedName name="WARWICKS" localSheetId="9">#REF!</definedName>
    <definedName name="WARWICKS" localSheetId="10">#REF!</definedName>
    <definedName name="WARWICKS" localSheetId="22">#REF!</definedName>
    <definedName name="WARWICKS" localSheetId="23">#REF!</definedName>
    <definedName name="WARWICKS" localSheetId="24">#REF!</definedName>
    <definedName name="WARWICKS">#REF!</definedName>
    <definedName name="WILTS" localSheetId="25">#REF!</definedName>
    <definedName name="WILTS" localSheetId="9">#REF!</definedName>
    <definedName name="WILTS" localSheetId="10">#REF!</definedName>
    <definedName name="WILTS" localSheetId="22">#REF!</definedName>
    <definedName name="WILTS" localSheetId="23">#REF!</definedName>
    <definedName name="WILTS" localSheetId="24">#REF!</definedName>
    <definedName name="WILTS">#REF!</definedName>
  </definedNames>
  <calcPr calcId="144525" fullPrecision="0"/>
  <fileRecoveryPr autoRecover="0"/>
</workbook>
</file>

<file path=xl/calcChain.xml><?xml version="1.0" encoding="utf-8"?>
<calcChain xmlns="http://schemas.openxmlformats.org/spreadsheetml/2006/main">
  <c r="B29" i="15" l="1"/>
  <c r="B28" i="15" l="1"/>
  <c r="B40" i="15"/>
  <c r="B39" i="15"/>
  <c r="B38" i="15"/>
  <c r="B37" i="15"/>
  <c r="B36" i="15"/>
  <c r="B35" i="15"/>
  <c r="B34" i="15"/>
  <c r="B33" i="15"/>
  <c r="B32" i="15"/>
  <c r="B31" i="15"/>
  <c r="B30" i="15"/>
  <c r="B27" i="15"/>
  <c r="B26" i="15"/>
  <c r="B25" i="15"/>
  <c r="B24" i="15"/>
  <c r="B23" i="15"/>
  <c r="B22" i="15"/>
  <c r="B21" i="15"/>
  <c r="B20" i="15"/>
  <c r="D14" i="54" l="1"/>
  <c r="D15" i="54"/>
  <c r="D16" i="54"/>
  <c r="D17" i="54"/>
  <c r="D18" i="54"/>
  <c r="D19" i="54"/>
  <c r="D20" i="54"/>
  <c r="D21" i="54"/>
  <c r="D22" i="54"/>
  <c r="D23" i="54"/>
  <c r="D24" i="54"/>
  <c r="D25" i="54"/>
  <c r="D26" i="54"/>
  <c r="D27" i="54"/>
  <c r="D28" i="54"/>
  <c r="D29" i="54"/>
  <c r="D30" i="54"/>
  <c r="D31" i="54"/>
  <c r="D32" i="54"/>
  <c r="D33" i="54"/>
  <c r="D34" i="54"/>
  <c r="D35" i="54"/>
  <c r="D36" i="54"/>
  <c r="D37" i="54"/>
  <c r="D38" i="54"/>
  <c r="D39" i="54"/>
  <c r="D40" i="54"/>
  <c r="D41" i="54"/>
  <c r="D42" i="54"/>
  <c r="D43" i="54"/>
  <c r="D44" i="54"/>
  <c r="D45" i="54"/>
  <c r="D46" i="54"/>
  <c r="D47" i="54"/>
  <c r="D48" i="54"/>
  <c r="D49" i="54"/>
  <c r="D50" i="54"/>
  <c r="D51" i="54"/>
  <c r="D52" i="54"/>
  <c r="D53" i="54"/>
  <c r="D54" i="54"/>
  <c r="D55" i="54"/>
  <c r="D56" i="54"/>
  <c r="D57" i="54"/>
  <c r="D58" i="54"/>
  <c r="D59" i="54"/>
  <c r="D60" i="54"/>
  <c r="D61" i="54"/>
  <c r="D62" i="54"/>
  <c r="D63" i="54"/>
  <c r="D64" i="54"/>
  <c r="D65" i="54"/>
  <c r="D66" i="54"/>
  <c r="D67" i="54"/>
  <c r="D68" i="54"/>
  <c r="D69" i="54"/>
  <c r="D70" i="54"/>
  <c r="D71" i="54"/>
  <c r="D72" i="54"/>
  <c r="D73" i="54"/>
  <c r="D74" i="54"/>
  <c r="D75" i="54"/>
  <c r="D76" i="54"/>
  <c r="D77" i="54"/>
  <c r="D78" i="54"/>
  <c r="D79" i="54"/>
  <c r="D80" i="54"/>
  <c r="D81" i="54"/>
  <c r="D82" i="54"/>
  <c r="D83" i="54"/>
  <c r="D84" i="54"/>
  <c r="D85" i="54"/>
  <c r="D86" i="54"/>
  <c r="D87" i="54"/>
  <c r="D88" i="54"/>
  <c r="D89" i="54"/>
  <c r="D90" i="54"/>
  <c r="D91" i="54"/>
  <c r="D92" i="54"/>
  <c r="D93" i="54"/>
  <c r="D94" i="54"/>
  <c r="D95" i="54"/>
  <c r="D96" i="54"/>
  <c r="D97" i="54"/>
  <c r="D98" i="54"/>
  <c r="D99" i="54"/>
  <c r="D100" i="54"/>
  <c r="D101" i="54"/>
  <c r="D102" i="54"/>
  <c r="D103" i="54"/>
  <c r="D104" i="54"/>
  <c r="D105" i="54"/>
  <c r="D106" i="54"/>
  <c r="D107" i="54"/>
  <c r="D108" i="54"/>
  <c r="D109" i="54"/>
  <c r="D110" i="54"/>
  <c r="D111" i="54"/>
  <c r="D112" i="54"/>
  <c r="D113" i="54"/>
  <c r="D114" i="54"/>
  <c r="D115" i="54"/>
  <c r="D116" i="54"/>
  <c r="D117" i="54"/>
  <c r="D118" i="54"/>
  <c r="D119" i="54"/>
  <c r="D13" i="54"/>
  <c r="E31" i="54" l="1"/>
  <c r="E39" i="54"/>
  <c r="E47" i="54"/>
  <c r="E55" i="54"/>
  <c r="E63" i="54"/>
  <c r="E71" i="54"/>
  <c r="E79" i="54"/>
  <c r="E87" i="54"/>
  <c r="E95" i="54"/>
  <c r="E103" i="54"/>
  <c r="E111" i="54"/>
  <c r="E119" i="54"/>
  <c r="E24" i="54"/>
  <c r="E32" i="54"/>
  <c r="E40" i="54"/>
  <c r="E48" i="54"/>
  <c r="E56" i="54"/>
  <c r="E64" i="54"/>
  <c r="E72" i="54"/>
  <c r="E80" i="54"/>
  <c r="E88" i="54"/>
  <c r="E96" i="54"/>
  <c r="E104" i="54"/>
  <c r="E112" i="54"/>
  <c r="E23" i="54"/>
  <c r="E15" i="54"/>
  <c r="E22" i="54"/>
  <c r="E33" i="54"/>
  <c r="E41" i="54"/>
  <c r="E49" i="54"/>
  <c r="E57" i="54"/>
  <c r="E65" i="54"/>
  <c r="E73" i="54"/>
  <c r="E81" i="54"/>
  <c r="E89" i="54"/>
  <c r="E97" i="54"/>
  <c r="E105" i="54"/>
  <c r="E113" i="54"/>
  <c r="E14" i="54"/>
  <c r="E34" i="54"/>
  <c r="E42" i="54"/>
  <c r="E50" i="54"/>
  <c r="E58" i="54"/>
  <c r="E66" i="54"/>
  <c r="E74" i="54"/>
  <c r="E82" i="54"/>
  <c r="E90" i="54"/>
  <c r="E98" i="54"/>
  <c r="E106" i="54"/>
  <c r="E114" i="54"/>
  <c r="E29" i="54"/>
  <c r="E21" i="54"/>
  <c r="E13" i="54"/>
  <c r="E35" i="54"/>
  <c r="E43" i="54"/>
  <c r="E51" i="54"/>
  <c r="E59" i="54"/>
  <c r="E67" i="54"/>
  <c r="E75" i="54"/>
  <c r="E83" i="54"/>
  <c r="E91" i="54"/>
  <c r="E99" i="54"/>
  <c r="E107" i="54"/>
  <c r="E115" i="54"/>
  <c r="E28" i="54"/>
  <c r="E20" i="54"/>
  <c r="E36" i="54"/>
  <c r="E44" i="54"/>
  <c r="E52" i="54"/>
  <c r="E60" i="54"/>
  <c r="E68" i="54"/>
  <c r="E76" i="54"/>
  <c r="E84" i="54"/>
  <c r="E92" i="54"/>
  <c r="E100" i="54"/>
  <c r="E108" i="54"/>
  <c r="E116" i="54"/>
  <c r="E27" i="54"/>
  <c r="E19" i="54"/>
  <c r="E30" i="54"/>
  <c r="E38" i="54"/>
  <c r="E46" i="54"/>
  <c r="E54" i="54"/>
  <c r="E62" i="54"/>
  <c r="E70" i="54"/>
  <c r="E78" i="54"/>
  <c r="E86" i="54"/>
  <c r="E94" i="54"/>
  <c r="E102" i="54"/>
  <c r="E110" i="54"/>
  <c r="E118" i="54"/>
  <c r="E25" i="54"/>
  <c r="E17" i="54"/>
  <c r="E16" i="54"/>
  <c r="E45" i="54"/>
  <c r="E77" i="54"/>
  <c r="E26" i="54"/>
  <c r="E85" i="54"/>
  <c r="E18" i="54"/>
  <c r="E93" i="54"/>
  <c r="E101" i="54"/>
  <c r="E61" i="54"/>
  <c r="E69" i="54"/>
  <c r="E37" i="54"/>
  <c r="E109" i="54"/>
  <c r="E53" i="54"/>
  <c r="E117" i="54"/>
</calcChain>
</file>

<file path=xl/comments1.xml><?xml version="1.0" encoding="utf-8"?>
<comments xmlns="http://schemas.openxmlformats.org/spreadsheetml/2006/main">
  <authors>
    <author>tc={0B0FD9F3-DEAD-4CBE-A785-496D2832ED78}</author>
  </authors>
  <commentList>
    <comment ref="A49" author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I added this so it is easy to find for end users should they want to have a look themselves</t>
        </r>
      </text>
    </comment>
  </commentList>
</comments>
</file>

<file path=xl/sharedStrings.xml><?xml version="1.0" encoding="utf-8"?>
<sst xmlns="http://schemas.openxmlformats.org/spreadsheetml/2006/main" count="4800" uniqueCount="1039">
  <si>
    <t>Data tables</t>
  </si>
  <si>
    <t>Introduction</t>
  </si>
  <si>
    <t>These tables provide aggregated statistical information on uses of the Mental Health Act ('the Act') in England for patients formally detained in hospitals and patients subject to Community Treatment Orders (CTOs). They provide time series data and breakdowns by type of organisation (NHS and independent sector) and data relating to the legal status of people detained under the Act.</t>
  </si>
  <si>
    <t>The data sources for each measure are noted at the top of each column of data. In 2016-17, the data were sourced from the Mental Health Services Data Set for the first time (data on uses of the Act in acute settings were collected via the MHA Acute collection in 2016-17 and 2017-18, and then from the Emergencey Care Data Set (ECDS) from 2019-20 onwards). Prior to this, data was sourced from the KP90 aggregate data collection.
Due to coverage issues, counts of events and people produced from these new data sources are incomplete and should not be compared to data from the KP90 collection. Please refer to the notes above each table. Users should also consult the Background Data Quality Report for further information on these issues.</t>
  </si>
  <si>
    <t>Data confidentiality</t>
  </si>
  <si>
    <t>MHSDS Sub-national figures between 0 and 4 are suppressed and all numbers are rounded to the nearest 5. 
ECDS sub-national figures between 1 and 7 are suppressed, zeros are shown and all other numbers are rounded to the nearest 5.
National figures from both sources are unrounded and unsuppressed.</t>
  </si>
  <si>
    <t>Contents</t>
  </si>
  <si>
    <t>Table</t>
  </si>
  <si>
    <t>Title</t>
  </si>
  <si>
    <t>Table 1a</t>
  </si>
  <si>
    <t>Table 1b</t>
  </si>
  <si>
    <t>Table 1c</t>
  </si>
  <si>
    <t>Table 1d</t>
  </si>
  <si>
    <t>Table 1e</t>
  </si>
  <si>
    <t>Table 1f</t>
  </si>
  <si>
    <t>Table 1g</t>
  </si>
  <si>
    <t>Table 1h</t>
  </si>
  <si>
    <t>Table 2a</t>
  </si>
  <si>
    <t>Table 2b</t>
  </si>
  <si>
    <t>Table 2c</t>
  </si>
  <si>
    <t>Table 3a</t>
  </si>
  <si>
    <t>Table 3b</t>
  </si>
  <si>
    <t>Table 3c</t>
  </si>
  <si>
    <t>Table 4</t>
  </si>
  <si>
    <t>Table 5</t>
  </si>
  <si>
    <t>Table 6</t>
  </si>
  <si>
    <t>Table 7a</t>
  </si>
  <si>
    <t>Table 7b</t>
  </si>
  <si>
    <t>Further Information</t>
  </si>
  <si>
    <t>Author: Community and Mental Health Analysis Team, NHS Digital</t>
  </si>
  <si>
    <t>Responsible Statistician: Giles Foster</t>
  </si>
  <si>
    <t>Public Enquiries: 0300 303 5678</t>
  </si>
  <si>
    <t>Email: enquiries@nhsdigital.nhs.uk</t>
  </si>
  <si>
    <t>Press enquiries should be made to the Media Relations Manager on 0300 303 3888</t>
  </si>
  <si>
    <t>Published by NHS Digital, part of the Government Statistical Service</t>
  </si>
  <si>
    <t>Copyright © 2021 Health and Social Care Information Centre.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</si>
  <si>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</si>
  <si>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</si>
  <si>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</si>
  <si>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</si>
  <si>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</si>
  <si>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</si>
  <si>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</si>
  <si>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All Providers</t>
  </si>
  <si>
    <t>NHS Providers</t>
  </si>
  <si>
    <t>Independent Sector Providers</t>
  </si>
  <si>
    <t>2013-14</t>
  </si>
  <si>
    <t>2014-15</t>
  </si>
  <si>
    <t>2015-16</t>
  </si>
  <si>
    <t>2016-17</t>
  </si>
  <si>
    <t>2017-18</t>
  </si>
  <si>
    <t>2018-19</t>
  </si>
  <si>
    <t>2019-20</t>
  </si>
  <si>
    <t>2020-21</t>
  </si>
  <si>
    <t>Data source</t>
  </si>
  <si>
    <t>KP90</t>
  </si>
  <si>
    <t>MHSDS/
Acute</t>
  </si>
  <si>
    <t>MHSDS/ ECDS</t>
  </si>
  <si>
    <r>
      <t>MHSDS</t>
    </r>
    <r>
      <rPr>
        <b/>
        <i/>
        <vertAlign val="superscript"/>
        <sz val="10"/>
        <color rgb="FF000000"/>
        <rFont val="Arial"/>
        <family val="2"/>
      </rPr>
      <t>7</t>
    </r>
  </si>
  <si>
    <t>MHSDS</t>
  </si>
  <si>
    <r>
      <t>All detentions</t>
    </r>
    <r>
      <rPr>
        <b/>
        <vertAlign val="superscript"/>
        <sz val="10"/>
        <rFont val="Arial"/>
        <family val="2"/>
      </rPr>
      <t>1,2</t>
    </r>
  </si>
  <si>
    <r>
      <t>Detentions on admission to hospital</t>
    </r>
    <r>
      <rPr>
        <b/>
        <vertAlign val="superscript"/>
        <sz val="10"/>
        <rFont val="Arial"/>
        <family val="2"/>
      </rPr>
      <t>3,4</t>
    </r>
  </si>
  <si>
    <t>All detentions under Part II of the Mental Health Act</t>
  </si>
  <si>
    <t>Section 2</t>
  </si>
  <si>
    <t>Section 3</t>
  </si>
  <si>
    <t>All detentions under Part III of the Mental Health Act</t>
  </si>
  <si>
    <t>Section 35</t>
  </si>
  <si>
    <t>Section 36</t>
  </si>
  <si>
    <t>Section 37 (with S41 restrictions)</t>
  </si>
  <si>
    <t>Section 37 (without S41 restrictions)</t>
  </si>
  <si>
    <t>Section 45A</t>
  </si>
  <si>
    <t>Section 47 (with S49 restrictions)</t>
  </si>
  <si>
    <t>Section 47 (without S49 restrictions)</t>
  </si>
  <si>
    <t>Section 48 (with S49 restrictions)</t>
  </si>
  <si>
    <t>Section 48 (without S49 restrictions)</t>
  </si>
  <si>
    <t>-</t>
  </si>
  <si>
    <t>Detentions under other sections (38, 44 and 46)</t>
  </si>
  <si>
    <t xml:space="preserve">Detentions under previous legislation (Fifth Schedule) and other Acts   </t>
  </si>
  <si>
    <r>
      <t>Detentions following admission to hospital</t>
    </r>
    <r>
      <rPr>
        <b/>
        <vertAlign val="superscript"/>
        <sz val="10"/>
        <rFont val="Arial"/>
        <family val="2"/>
      </rPr>
      <t>3,5,6</t>
    </r>
  </si>
  <si>
    <t>Informal to section 2</t>
  </si>
  <si>
    <t>Informal to section 3</t>
  </si>
  <si>
    <t>Section 5(2) to 2</t>
  </si>
  <si>
    <t>Section 5(2) to 3</t>
  </si>
  <si>
    <t>Section 5(4) to 2</t>
  </si>
  <si>
    <t>Section 5(4) to 3</t>
  </si>
  <si>
    <t>Section 4 to 2</t>
  </si>
  <si>
    <t>Section 4 to 3</t>
  </si>
  <si>
    <t>Detentions following use of Place of Safety Order</t>
  </si>
  <si>
    <t>Section 135 to 2</t>
  </si>
  <si>
    <t>Section 135 to 3</t>
  </si>
  <si>
    <t>Section 136 to 2</t>
  </si>
  <si>
    <t>Section 136 to 3</t>
  </si>
  <si>
    <t>Detentions following revocation of CTO</t>
  </si>
  <si>
    <t>Copyright © 2021, Health and Social Care Information Centre. The Health and Social Care Information Centre is a non-departmental body created by statute, also known as NHS Digital</t>
  </si>
  <si>
    <t>This work remains the sole and exclusive property of the Health and Social Information Centre and may only be reproduced where there is explicit reference to the ownership of the Health and Social Care Information Centre.</t>
  </si>
  <si>
    <t>Number of detentions</t>
  </si>
  <si>
    <r>
      <t>Base Population</t>
    </r>
    <r>
      <rPr>
        <b/>
        <vertAlign val="superscript"/>
        <sz val="10"/>
        <rFont val="Arial"/>
        <family val="2"/>
      </rPr>
      <t>3</t>
    </r>
  </si>
  <si>
    <t>Crude rate per 100,000 population</t>
  </si>
  <si>
    <r>
      <t>All</t>
    </r>
    <r>
      <rPr>
        <b/>
        <vertAlign val="superscript"/>
        <sz val="10"/>
        <color indexed="8"/>
        <rFont val="Arial"/>
        <family val="2"/>
      </rPr>
      <t>1</t>
    </r>
  </si>
  <si>
    <r>
      <t>All age groups (where recorded)</t>
    </r>
    <r>
      <rPr>
        <b/>
        <vertAlign val="superscript"/>
        <sz val="10"/>
        <color rgb="FF000000"/>
        <rFont val="Arial"/>
        <family val="2"/>
      </rPr>
      <t>2</t>
    </r>
  </si>
  <si>
    <t>17 and under</t>
  </si>
  <si>
    <t>15 and under</t>
  </si>
  <si>
    <t>16 to 17</t>
  </si>
  <si>
    <t>18 and over</t>
  </si>
  <si>
    <t>18 to 34</t>
  </si>
  <si>
    <t>35 to 49</t>
  </si>
  <si>
    <t>50 to 64</t>
  </si>
  <si>
    <t>65 and over</t>
  </si>
  <si>
    <r>
      <t>All genders (where recorded)</t>
    </r>
    <r>
      <rPr>
        <b/>
        <vertAlign val="superscript"/>
        <sz val="10"/>
        <color indexed="8"/>
        <rFont val="Arial"/>
        <family val="2"/>
      </rPr>
      <t>2</t>
    </r>
  </si>
  <si>
    <t>Male</t>
  </si>
  <si>
    <t>Female</t>
  </si>
  <si>
    <r>
      <rPr>
        <b/>
        <sz val="10"/>
        <color indexed="8"/>
        <rFont val="Arial"/>
        <family val="2"/>
      </rPr>
      <t xml:space="preserve">Footnotes
</t>
    </r>
    <r>
      <rPr>
        <sz val="10"/>
        <color indexed="8"/>
        <rFont val="Arial"/>
        <family val="2"/>
      </rPr>
      <t>1) The total for 'All' is calculated from both the MHSDS and ECDS collections. It includes detentions where the age and gender details were not submitted. The totals for 'All age groups' and 'All genders' are from MHSDS only since the ECDS collection does not allow for further demographic breakdowns.
2) The total for 'All genders' is lower than for 'All' as these exclude records where these characteristics were either recorded as 'Not stated' and 'Not known' or where they were not submitted.
3) ONS mid-year population estimates 2020.</t>
    </r>
  </si>
  <si>
    <t xml:space="preserve">The population figures use 2011 Census categories. The 2011 Census introduced the new Gypsy or Irish Traveller and Arab categories. MHSDS does not allow for data to be submitted with these new categories and as such for the purpose of analysis the new Gypsy or Irish Traveller and Arab categories have not been included. The population figure for Gypsy or Irish Traveller is included in the total population figures for the broad category of White and the population figure for Arab is included in the population figures for Any Other Ethnic Group category. The inclusion of these groups could affect the rate for the Any other ethnic group.
Although Gypsy and Arab are identified in the population figures, since these groups are not separately identified in the MHSDS, we cannot produce separate rates for these groups. We also do not know which categories these people would have identified as belonging to in the MHSDS. For example, an Arab person may have self-identified as Asian or Any Other Ethnic group and the way this affects the rates shown is unknown.
The broad groupings shown below follow the 2001 Census groupings, which are still used in the NHS.  However the 2011 census re-positions 'Chinese'  from Any other ethnic group to Asian/Asian British. This means that figures using 2011 Census categories will not be comparable with any using 2001 Census categories for 'Any Other Ethnic Group' and 'Asian/Asian British'.                                                                                                                                                                                                                                    </t>
  </si>
  <si>
    <t>Standardised rate per 100,000 population</t>
  </si>
  <si>
    <t>Confidence Interval</t>
  </si>
  <si>
    <r>
      <t>All ethnicities (where recorded)</t>
    </r>
    <r>
      <rPr>
        <b/>
        <vertAlign val="superscript"/>
        <sz val="10"/>
        <color indexed="8"/>
        <rFont val="Arial"/>
        <family val="2"/>
      </rPr>
      <t>2</t>
    </r>
  </si>
  <si>
    <t>Ethnicity</t>
  </si>
  <si>
    <t>White</t>
  </si>
  <si>
    <t>White British</t>
  </si>
  <si>
    <t>White Irish</t>
  </si>
  <si>
    <t>Any Other White Background</t>
  </si>
  <si>
    <t>Gypsy or Irish Traveller</t>
  </si>
  <si>
    <t>Mixed</t>
  </si>
  <si>
    <t>White and Black Caribbean</t>
  </si>
  <si>
    <t>White and Black African</t>
  </si>
  <si>
    <t>White and Asian</t>
  </si>
  <si>
    <t>Any Other Mixed Background</t>
  </si>
  <si>
    <t>Asian or Asian British</t>
  </si>
  <si>
    <t>Indian</t>
  </si>
  <si>
    <t>Pakistani</t>
  </si>
  <si>
    <t>Bangladeshi</t>
  </si>
  <si>
    <t>Any Other Asian Background</t>
  </si>
  <si>
    <t>Black or Black British</t>
  </si>
  <si>
    <t>African</t>
  </si>
  <si>
    <t>Caribbean</t>
  </si>
  <si>
    <t>Any Other Black Background</t>
  </si>
  <si>
    <t>Other Ethnic Groups</t>
  </si>
  <si>
    <t>Chinese</t>
  </si>
  <si>
    <t>Any Other Ethnic Group</t>
  </si>
  <si>
    <t>Arab</t>
  </si>
  <si>
    <r>
      <t>Footnotes</t>
    </r>
    <r>
      <rPr>
        <sz val="10"/>
        <color indexed="8"/>
        <rFont val="Arial"/>
        <family val="2"/>
      </rPr>
      <t xml:space="preserve">
1) The total for 'All' is calculated from both the MHSDS and ECDS collections. It includes detentions where the ethnicity was not submitted.Further breakdowns are from MHSDS only since the ECDS collection does not allow for further demographic breakdowns.
2) The total for 'All ethnicities' is lower than for 'All' as it excludes records where any of age, gender or ethnicity was either recorded as 'Not stated' and 'Not known' or where it was not submitted. This information was required for direct standardisation of population-based rates.
3) ONS Census 2011 - table reference: DC2101EW - Ethnic group by sex by age, QS211EW - Ethnic group (detailed)</t>
    </r>
    <r>
      <rPr>
        <sz val="10"/>
        <color rgb="FF000000"/>
        <rFont val="Arial"/>
        <family val="2"/>
      </rPr>
      <t xml:space="preserve"> </t>
    </r>
  </si>
  <si>
    <t xml:space="preserve">https://www.nomisweb.co.uk/census/2011/LC2101EW/view/2092957699?rows=c_ethpuk11&amp;cols=c_sex </t>
  </si>
  <si>
    <t>Sustainability and Transformation Partnership area</t>
  </si>
  <si>
    <r>
      <t>Base Population</t>
    </r>
    <r>
      <rPr>
        <b/>
        <vertAlign val="superscript"/>
        <sz val="10"/>
        <rFont val="Arial"/>
        <family val="2"/>
      </rPr>
      <t>2</t>
    </r>
  </si>
  <si>
    <t>All STPs</t>
  </si>
  <si>
    <r>
      <t>Footnotes</t>
    </r>
    <r>
      <rPr>
        <sz val="10"/>
        <color indexed="8"/>
        <rFont val="Arial"/>
        <family val="2"/>
      </rPr>
      <t xml:space="preserve">
1) The total for 'All' is calculated from both the MHSDS and ECDS collections. It includes detentions where the STP could not be derived. Further breakdowns are from MHSDS only since the ECDS collection does not allow for further breakdowns and therefore STP could not be derived from this data.
2) ONS mid-2019 population estimates for 2020 CCG have been mapped to STP</t>
    </r>
  </si>
  <si>
    <t>Gender</t>
  </si>
  <si>
    <t xml:space="preserve">Asian </t>
  </si>
  <si>
    <t>Black</t>
  </si>
  <si>
    <t>Other</t>
  </si>
  <si>
    <r>
      <t>All ages and genders</t>
    </r>
    <r>
      <rPr>
        <b/>
        <vertAlign val="superscript"/>
        <sz val="10"/>
        <color rgb="FF000000"/>
        <rFont val="Arial"/>
        <family val="2"/>
      </rPr>
      <t>1</t>
    </r>
  </si>
  <si>
    <t>Age</t>
  </si>
  <si>
    <t>Source: MHSDS</t>
  </si>
  <si>
    <r>
      <rPr>
        <b/>
        <sz val="10"/>
        <color indexed="8"/>
        <rFont val="Arial"/>
        <family val="2"/>
      </rPr>
      <t xml:space="preserve">Footnotes
</t>
    </r>
    <r>
      <rPr>
        <sz val="10"/>
        <color indexed="8"/>
        <rFont val="Arial"/>
        <family val="2"/>
      </rPr>
      <t xml:space="preserve">1) Data has been excluded  where any of age, gender or ethnicity was either recorded as 'Not stated' and 'Not known' or where it was not submitted. The total for 'All ages and genders' is calculated from MHSDS only since the ECDS collection does not allow for further demographic breakdowns.
</t>
    </r>
  </si>
  <si>
    <t>Clinical Commissioning Group area</t>
  </si>
  <si>
    <r>
      <t>Base Population</t>
    </r>
    <r>
      <rPr>
        <b/>
        <vertAlign val="superscript"/>
        <sz val="10"/>
        <rFont val="Arial"/>
        <family val="2"/>
      </rPr>
      <t>1</t>
    </r>
  </si>
  <si>
    <t>All CCGs</t>
  </si>
  <si>
    <r>
      <t>Footnotes</t>
    </r>
    <r>
      <rPr>
        <sz val="10"/>
        <color indexed="8"/>
        <rFont val="Arial"/>
        <family val="2"/>
      </rPr>
      <t xml:space="preserve">
1) ONS mid-2019 population estimates for 2020</t>
    </r>
  </si>
  <si>
    <t xml:space="preserve">IMD Decile </t>
  </si>
  <si>
    <r>
      <t>Number of detentions</t>
    </r>
    <r>
      <rPr>
        <b/>
        <vertAlign val="superscript"/>
        <sz val="10"/>
        <rFont val="Arial"/>
        <family val="2"/>
      </rPr>
      <t>2</t>
    </r>
  </si>
  <si>
    <t>01 Least deprived</t>
  </si>
  <si>
    <t>02 Less deprived</t>
  </si>
  <si>
    <t>03 Less deprived</t>
  </si>
  <si>
    <t>04 Less deprived</t>
  </si>
  <si>
    <t>05 Less deprived</t>
  </si>
  <si>
    <t>06 More deprived</t>
  </si>
  <si>
    <t>07 More deprived</t>
  </si>
  <si>
    <t>08 More deprived</t>
  </si>
  <si>
    <t>09 More deprived</t>
  </si>
  <si>
    <t>10 Most deprived</t>
  </si>
  <si>
    <t>Not stated/Not known/Invalid</t>
  </si>
  <si>
    <r>
      <t>Footnotes</t>
    </r>
    <r>
      <rPr>
        <sz val="10"/>
        <color indexed="8"/>
        <rFont val="Arial"/>
        <family val="2"/>
      </rPr>
      <t xml:space="preserve">
1) The total for 'All' is calculated from both the MHSDS and ECDS collections. It includes detentions where the IMD decile could not be derived.
2) The sum of the IMD decile breakdown only relates to MHSDS and not ECDS and so will not equal the total for 'All' which includes data from both collections.
3) ONS mid-year population estimates 2017</t>
    </r>
  </si>
  <si>
    <t>Sources: MHSDS - NHS Digital</t>
  </si>
  <si>
    <t>Notes:</t>
  </si>
  <si>
    <r>
      <t xml:space="preserve">This table shows the number of uses of Sections 4, 5(2), 5(4), 135 and 136 during each period.
</t>
    </r>
    <r>
      <rPr>
        <sz val="10"/>
        <color theme="1"/>
        <rFont val="Arial"/>
        <family val="2"/>
      </rPr>
      <t>From 2016-17, data is not comparable to previous years due to the change in data source from the KP90 collection to the MHSDS. For further details please refer to the Background Data Quality Report.</t>
    </r>
  </si>
  <si>
    <t>All providers</t>
  </si>
  <si>
    <r>
      <t>MHSDS</t>
    </r>
    <r>
      <rPr>
        <b/>
        <i/>
        <vertAlign val="superscript"/>
        <sz val="10"/>
        <color rgb="FF000000"/>
        <rFont val="Arial"/>
        <family val="2"/>
      </rPr>
      <t>1</t>
    </r>
  </si>
  <si>
    <t>Short Term Detention Orders</t>
  </si>
  <si>
    <t>All place of safety orders</t>
  </si>
  <si>
    <t>Section 135</t>
  </si>
  <si>
    <t>Section 136</t>
  </si>
  <si>
    <t>Uses of Section 4</t>
  </si>
  <si>
    <t>All Uses of Section 5</t>
  </si>
  <si>
    <t>Section 5 (2)</t>
  </si>
  <si>
    <t>Section 5 (4)</t>
  </si>
  <si>
    <t>Short-term detention orders are those of no greater than 24 hours' duration, except where a doctor has approved a further 12 hour extension. Prior to December 2017, the time limit for these orders was 72 hours.
This data only includes those uses where the Place of Safety was a hospital. Orders made where the Place of Safety was a police station are reported separately by the Home Office.</t>
  </si>
  <si>
    <t>Number of Place of Safety Orders: Section 136</t>
  </si>
  <si>
    <r>
      <rPr>
        <b/>
        <sz val="10"/>
        <color indexed="8"/>
        <rFont val="Arial"/>
        <family val="2"/>
      </rPr>
      <t xml:space="preserve">Footnotes
</t>
    </r>
    <r>
      <rPr>
        <sz val="10"/>
        <color indexed="8"/>
        <rFont val="Arial"/>
        <family val="2"/>
      </rPr>
      <t>1) The total for 'All' is calculated from both the MHSDS and ECDS collections. It includes section 136 orders where the age and gender details were not submitted.
2) The totals for 'All age groups' and 'All genders' are from MHSDS only since the ECDS collection does not allow for further demographic breakdowns.These totals are lower than for 'All' as these also exclude records where these characteristics were either recorded as 'Not stated' and 'Not known' or where they were not submitted.
3) ONS mid-year population estimates 2020.</t>
    </r>
  </si>
  <si>
    <t>Short-term detention orders are defined as those of no greater than 24 hours' duration, except where a doctor has approved a further 12 hour extension. Prior to December 2017, the time limit for these orders was 72 hours.</t>
  </si>
  <si>
    <t>This data only includes those uses where the Place of Safety was a hospital. Orders made where the Place of Safety was a police station are reported separately by the Home Office.</t>
  </si>
  <si>
    <r>
      <t xml:space="preserve">Footnotes
</t>
    </r>
    <r>
      <rPr>
        <sz val="10"/>
        <color indexed="8"/>
        <rFont val="Arial"/>
        <family val="2"/>
      </rPr>
      <t xml:space="preserve">1) The total for 'All' is calculated from both the MHSDS and ECDS collections. It includes detentions where the age and gender details were not submitted. Further breakdowns are from MHSDS only since the ECDS collection does not allow for further demographic breakdowns.
2) The total for 'All ethnicities' is lower than for 'All' as it excludes records where any of age, gender or ethnicity was either recorded as 'Not stated' and 'Not known' or where it was not submitted. This information was required for direct standardisation of population-based rates.
3) ONS Census 2011 - table reference: DC2101EW - Ethnic group by sex by age, QS211EW - Ethnic group (detailed)
</t>
    </r>
  </si>
  <si>
    <t xml:space="preserve">This table shows the number of uses of Community Treatment Orders (CTOs) during each period. </t>
  </si>
  <si>
    <t>Although a change in legal status from 'Informal to CTO' or 'Other sections to CTO' should not be possible, analysis of the MHSDS data shows that these transitions are being observed in the data submitted. This is shown below to highlight possible data quality issues.
Data about uses of CTOs are incomplete in the MHSDS and should not be compared to data from the KP90 data source.</t>
  </si>
  <si>
    <r>
      <t>MHSDS</t>
    </r>
    <r>
      <rPr>
        <b/>
        <i/>
        <vertAlign val="superscript"/>
        <sz val="10"/>
        <rFont val="Arial"/>
        <family val="2"/>
      </rPr>
      <t>1</t>
    </r>
  </si>
  <si>
    <t>MHSDS1</t>
  </si>
  <si>
    <t>Uses of Community Treatment Orders (under section 17A)</t>
  </si>
  <si>
    <t>Section 3 to CTO</t>
  </si>
  <si>
    <t>Section 37 to CTO</t>
  </si>
  <si>
    <t>Section 47 to CTO</t>
  </si>
  <si>
    <t>Section 48 to CTO</t>
  </si>
  <si>
    <r>
      <t>Informal to CTO</t>
    </r>
    <r>
      <rPr>
        <vertAlign val="superscript"/>
        <sz val="10"/>
        <color rgb="FF000000"/>
        <rFont val="Arial"/>
        <family val="2"/>
      </rPr>
      <t>2</t>
    </r>
  </si>
  <si>
    <r>
      <t>Other sections to CTO</t>
    </r>
    <r>
      <rPr>
        <vertAlign val="superscript"/>
        <sz val="10"/>
        <color rgb="FF000000"/>
        <rFont val="Arial"/>
        <family val="2"/>
      </rPr>
      <t>3</t>
    </r>
  </si>
  <si>
    <t>CTO recalls to hospital</t>
  </si>
  <si>
    <r>
      <t>Revocations of CTO</t>
    </r>
    <r>
      <rPr>
        <b/>
        <vertAlign val="superscript"/>
        <sz val="10"/>
        <color rgb="FF000000"/>
        <rFont val="Arial"/>
        <family val="2"/>
      </rPr>
      <t>4</t>
    </r>
  </si>
  <si>
    <t>Discharges from CTO</t>
  </si>
  <si>
    <t>Number of uses of CTOs</t>
  </si>
  <si>
    <r>
      <t xml:space="preserve">Footnotes
</t>
    </r>
    <r>
      <rPr>
        <sz val="10"/>
        <color indexed="8"/>
        <rFont val="Arial"/>
        <family val="2"/>
      </rPr>
      <t>1) ONS mid-year population estimates 2020.</t>
    </r>
    <r>
      <rPr>
        <b/>
        <sz val="10"/>
        <color indexed="8"/>
        <rFont val="Arial"/>
        <family val="2"/>
      </rPr>
      <t xml:space="preserve">
</t>
    </r>
    <r>
      <rPr>
        <sz val="10"/>
        <color rgb="FF000000"/>
        <rFont val="Arial"/>
        <family val="2"/>
      </rPr>
      <t>2) The total for 'All genders' is lower than for 'All' and 'All age groups' as this excludes records where these characteristics were either recorded as 'Not stated' and 'Not known' or where they were not submitted.</t>
    </r>
  </si>
  <si>
    <r>
      <t>Total uses of Section 2</t>
    </r>
    <r>
      <rPr>
        <b/>
        <vertAlign val="superscript"/>
        <sz val="10"/>
        <color rgb="FF000000"/>
        <rFont val="Arial"/>
        <family val="2"/>
      </rPr>
      <t>2</t>
    </r>
  </si>
  <si>
    <r>
      <t>Section 2 on admission</t>
    </r>
    <r>
      <rPr>
        <vertAlign val="superscript"/>
        <sz val="10"/>
        <color rgb="FF000000"/>
        <rFont val="Arial"/>
        <family val="2"/>
      </rPr>
      <t>3</t>
    </r>
  </si>
  <si>
    <t>Section 2 following admission (informal to 2)</t>
  </si>
  <si>
    <r>
      <t>Total uses of Section 3</t>
    </r>
    <r>
      <rPr>
        <b/>
        <vertAlign val="superscript"/>
        <sz val="10"/>
        <color rgb="FF000000"/>
        <rFont val="Arial"/>
        <family val="2"/>
      </rPr>
      <t>2</t>
    </r>
  </si>
  <si>
    <r>
      <t>Section 3 on admission</t>
    </r>
    <r>
      <rPr>
        <vertAlign val="superscript"/>
        <sz val="10"/>
        <color rgb="FF000000"/>
        <rFont val="Arial"/>
        <family val="2"/>
      </rPr>
      <t>3</t>
    </r>
  </si>
  <si>
    <t>Section 3 following admission (informal to 3)</t>
  </si>
  <si>
    <t>Section 2 to 3</t>
  </si>
  <si>
    <t>Other sections to Section 3</t>
  </si>
  <si>
    <t>People subject to the Mental Health Act 1983 on 31st March, by provider, 2015 to 2021</t>
  </si>
  <si>
    <t>This table shows, by provider, the number of people subject to the Mental Health Act on 31st March each year. It is a snapshot of activity on the last day of each annual reporting period.
Caution should be used in making comparisons between periods where the data source has changed as not all organisations that submitted to the KP90 collection are submitting to the MHSDS. For further information please refer to the Background Data Quality Report.</t>
  </si>
  <si>
    <t>Providers have been grouped based on their Organisational Data Service (ODS) code. Independent hospitals in the KP90 without a parent ODS code were grouped into the 'Other Independent Sector Healthcare Providers' group at the bottom of this table. Individual provider figures are available in the metadata file that accompanies this release. Local knowledge may be required to interpret changes between years.</t>
  </si>
  <si>
    <t xml:space="preserve"> '*' indicates the value has been suppressed. From 2013-14, sub-national figures between 0 and 4 are suppressed and all numbers are rounded to the nearest 5. National figures are unrounded and unsuppressed. '-' indicates where an organisation had no data. For more information on disclosure control rules please refer to the Background Data Quality report.</t>
  </si>
  <si>
    <t>People subject to the Act on 31st March</t>
  </si>
  <si>
    <t>People detained in hospital on 31st March</t>
  </si>
  <si>
    <t>People subject to Community Treatment Orders (CTOs) on 31st March</t>
  </si>
  <si>
    <t>MHSDS/Acute</t>
  </si>
  <si>
    <r>
      <t>MHSDS</t>
    </r>
    <r>
      <rPr>
        <b/>
        <i/>
        <vertAlign val="superscript"/>
        <sz val="10"/>
        <rFont val="Arial"/>
        <family val="2"/>
      </rPr>
      <t>2</t>
    </r>
  </si>
  <si>
    <r>
      <t>All Providers</t>
    </r>
    <r>
      <rPr>
        <b/>
        <vertAlign val="superscript"/>
        <sz val="10"/>
        <rFont val="Arial"/>
        <family val="2"/>
      </rPr>
      <t>1</t>
    </r>
  </si>
  <si>
    <t>Independent Providers</t>
  </si>
  <si>
    <t>Mental Health &amp; Learning Difficulty service providers</t>
  </si>
  <si>
    <t>RTQ</t>
  </si>
  <si>
    <t>RBS</t>
  </si>
  <si>
    <t>ALDER HEY CHILDREN'S NHS FOUNDATION TRUST</t>
  </si>
  <si>
    <t>*</t>
  </si>
  <si>
    <t>RVN</t>
  </si>
  <si>
    <t>AVON AND WILTSHIRE MENTAL HEALTH PARTNERSHIP NHS TRUST</t>
  </si>
  <si>
    <t>RRP</t>
  </si>
  <si>
    <t>BARNET, ENFIELD AND HARINGEY MENTAL HEALTH NHS TRUST</t>
  </si>
  <si>
    <t>RWX</t>
  </si>
  <si>
    <t>BERKSHIRE HEALTHCARE NHS FOUNDATION TRUST</t>
  </si>
  <si>
    <t>RXT</t>
  </si>
  <si>
    <t>BIRMINGHAM AND SOLIHULL MENTAL HEALTH NHS FOUNDATION TRUST</t>
  </si>
  <si>
    <t>TAJ</t>
  </si>
  <si>
    <t>BLACK COUNTRY PARTNERSHIP NHS FOUNDATION TRUST</t>
  </si>
  <si>
    <t>TAD</t>
  </si>
  <si>
    <t>BRADFORD DISTRICT CARE TRUST</t>
  </si>
  <si>
    <t>RT1</t>
  </si>
  <si>
    <t>CAMBRIDGESHIRE AND PETERBOROUGH NHS FOUNDATION TRUST</t>
  </si>
  <si>
    <t>TAF</t>
  </si>
  <si>
    <t>CAMDEN AND ISLINGTON NHS FOUNDATION TRUST</t>
  </si>
  <si>
    <t>RV3</t>
  </si>
  <si>
    <t>CENTRAL AND NORTH WEST LONDON NHS FOUNDATION TRUST</t>
  </si>
  <si>
    <t>RXA</t>
  </si>
  <si>
    <t>CHESHIRE AND WIRRAL PARTNERSHIP NHS FOUNDATION TRUST</t>
  </si>
  <si>
    <t>RJ8</t>
  </si>
  <si>
    <t>CORNWALL PARTNERSHIP NHS FOUNDATION TRUST</t>
  </si>
  <si>
    <t>RYG</t>
  </si>
  <si>
    <t>COVENTRY AND WARWICKSHIRE PARTNERSHIP NHS TRUST</t>
  </si>
  <si>
    <t>RNN</t>
  </si>
  <si>
    <t>CUMBRIA PARTNERSHIP NHS FOUNDATION TRUST</t>
  </si>
  <si>
    <t>RY8</t>
  </si>
  <si>
    <t>DERBYSHIRE COMMUNITY HEALTH SERVICES NHS FOUNDATION TRUST</t>
  </si>
  <si>
    <t>RXM</t>
  </si>
  <si>
    <t>DERBYSHIRE HEALTHCARE NHS FOUNDATION TRUST</t>
  </si>
  <si>
    <t>RWV</t>
  </si>
  <si>
    <t>DEVON PARTNERSHIP NHS TRUST</t>
  </si>
  <si>
    <t>RDY</t>
  </si>
  <si>
    <t>DORSET HEALTHCARE UNIVERSITY NHS FOUNDATION TRUST</t>
  </si>
  <si>
    <t>RYK</t>
  </si>
  <si>
    <t>DUDLEY AND WALSALL MENTAL HEALTH PARTNERSHIP NHS TRUST</t>
  </si>
  <si>
    <t>RWK</t>
  </si>
  <si>
    <t>EAST LONDON NHS FOUNDATION TRUST</t>
  </si>
  <si>
    <t>R1L</t>
  </si>
  <si>
    <t>ESSEX PARTNERSHIP UNIVERSITY FOUNDATION TRUST</t>
  </si>
  <si>
    <t>RR7</t>
  </si>
  <si>
    <t>GATESHEAD HEALTH NHS FOUNDATION TRUST</t>
  </si>
  <si>
    <t>RXV</t>
  </si>
  <si>
    <t>GREATER MANCHESTER MENTAL HEALTH NHS FOUNDATION TRUST</t>
  </si>
  <si>
    <t>RWR</t>
  </si>
  <si>
    <t>HERTFORDSHIRE PARTNERSHIP UNIVERSITY NHS FOUNDATION TRUST</t>
  </si>
  <si>
    <t>RV9</t>
  </si>
  <si>
    <t>HUMBER NHS FOUNDATION TRUST</t>
  </si>
  <si>
    <t>R1F</t>
  </si>
  <si>
    <t>ISLE OF WIGHT NHS TRUST</t>
  </si>
  <si>
    <t>RXY</t>
  </si>
  <si>
    <t>KENT AND MEDWAY NHS AND SOCIAL CARE PARTNERSHIP TRUST</t>
  </si>
  <si>
    <t>RW5</t>
  </si>
  <si>
    <t>LANCASHIRE CARE NHS FOUNDATION TRUST</t>
  </si>
  <si>
    <t>RGD</t>
  </si>
  <si>
    <t>LEEDS AND YORK PARTNERSHIP NHS FOUNDATION TRUST</t>
  </si>
  <si>
    <t>RY6</t>
  </si>
  <si>
    <t>LEEDS COMMUNITY HEALTHCARE NHS TRUST</t>
  </si>
  <si>
    <t>RT5</t>
  </si>
  <si>
    <t>LEICESTERSHIRE PARTNERSHIP NHS TRUST</t>
  </si>
  <si>
    <t>RP7</t>
  </si>
  <si>
    <t>LINCOLNSHIRE PARTNERSHIP NHS FOUNDATION TRUST</t>
  </si>
  <si>
    <t>RW4</t>
  </si>
  <si>
    <t>MERSEY CARE NHS TRUST</t>
  </si>
  <si>
    <t>RMY</t>
  </si>
  <si>
    <t>NORFOLK AND SUFFOLK NHS FOUNDATION TRUST</t>
  </si>
  <si>
    <t>RAT</t>
  </si>
  <si>
    <t>NORTH EAST LONDON NHS FOUNDATION TRUST</t>
  </si>
  <si>
    <t>RRD</t>
  </si>
  <si>
    <t>NORTH ESSEX PARTNERSHIP UNIVERSITY NHS FOUNDATION TRUST</t>
  </si>
  <si>
    <t>RLY</t>
  </si>
  <si>
    <t>NORTH STAFFORDSHIRE COMBINED HEALTHCARE NHS TRUST</t>
  </si>
  <si>
    <t>RTV</t>
  </si>
  <si>
    <t>NORTH WEST BOROUGHS HEALTHCARE NHS FOUNDATION TRUST</t>
  </si>
  <si>
    <t>RP1</t>
  </si>
  <si>
    <t>NORTHAMPTONSHIRE HEALTHCARE NHS FOUNDATION TRUST</t>
  </si>
  <si>
    <t>RX4</t>
  </si>
  <si>
    <t>NORTHUMBERLAND, TYNE AND WEAR NHS FOUNDATION TRUST</t>
  </si>
  <si>
    <t>RTF</t>
  </si>
  <si>
    <t>NORTHUMBRIA HEALTHCARE NHS FOUNDATION TRUST</t>
  </si>
  <si>
    <t>RHA</t>
  </si>
  <si>
    <t>NOTTINGHAMSHIRE HEALTHCARE NHS FOUNDATION TRUST</t>
  </si>
  <si>
    <t>RNU</t>
  </si>
  <si>
    <t>OXFORD HEALTH NHS FOUNDATION TRUST</t>
  </si>
  <si>
    <t>RPG</t>
  </si>
  <si>
    <t>OXLEAS NHS FOUNDATION TRUST</t>
  </si>
  <si>
    <t>RT2</t>
  </si>
  <si>
    <t>PENNINE CARE NHS FOUNDATION TRUST</t>
  </si>
  <si>
    <t>RXE</t>
  </si>
  <si>
    <t>ROTHERHAM DONCASTER AND SOUTH HUMBER NHS FOUNDATION TRUST</t>
  </si>
  <si>
    <t>RCU</t>
  </si>
  <si>
    <t>SHEFFIELD CHILDREN'S NHS FOUNDATION TRUST</t>
  </si>
  <si>
    <t>TAH</t>
  </si>
  <si>
    <t>SHEFFIELD HEALTH AND SOCIAL CARE NHS FOUNDATION TRUST</t>
  </si>
  <si>
    <t>R1C</t>
  </si>
  <si>
    <t>SOLENT NHS TRUST</t>
  </si>
  <si>
    <t>RH5</t>
  </si>
  <si>
    <t>SOMERSET PARTNERSHIP NHS FOUNDATION TRUST</t>
  </si>
  <si>
    <t>RV5</t>
  </si>
  <si>
    <t>SOUTH LONDON AND MAUDSLEY NHS FOUNDATION TRUST</t>
  </si>
  <si>
    <t>RRE</t>
  </si>
  <si>
    <t>SOUTH STAFFORDSHIRE AND SHROPSHIRE HEALTHCARE NHS FOUNDATION TRUST</t>
  </si>
  <si>
    <t>RQY</t>
  </si>
  <si>
    <t>SOUTH WEST LONDON AND ST GEORGE'S MENTAL HEALTH NHS TRUST</t>
  </si>
  <si>
    <t>RXG</t>
  </si>
  <si>
    <t>SOUTH WEST YORKSHIRE PARTNERSHIP NHS FOUNDATION TRUST</t>
  </si>
  <si>
    <t>RW1</t>
  </si>
  <si>
    <t>SOUTHERN HEALTH NHS FOUNDATION TRUST</t>
  </si>
  <si>
    <t>RXX</t>
  </si>
  <si>
    <t>SURREY AND BORDERS PARTNERSHIP NHS FOUNDATION TRUST</t>
  </si>
  <si>
    <t>RX2</t>
  </si>
  <si>
    <t>SUSSEX PARTNERSHIP NHS FOUNDATION TRUST</t>
  </si>
  <si>
    <t>RX3</t>
  </si>
  <si>
    <t>TEES, ESK AND WEAR VALLEYS NHS FOUNDATION TRUST</t>
  </si>
  <si>
    <t>RKL</t>
  </si>
  <si>
    <t>WEST LONDON MENTAL HEALTH NHS TRUST</t>
  </si>
  <si>
    <t>R1A</t>
  </si>
  <si>
    <t>WORCESTERSHIRE HEALTH AND CARE NHS TRUST</t>
  </si>
  <si>
    <t>Acute Trusts</t>
  </si>
  <si>
    <t>REM</t>
  </si>
  <si>
    <t>AINTREE UNIVERSITY HOSPITAL NHS FOUNDATION TRUST</t>
  </si>
  <si>
    <t>RTK</t>
  </si>
  <si>
    <t>ASHFORD AND ST PETER'S HOSPITALS NHS FOUNDATION TRUST</t>
  </si>
  <si>
    <t>R1H</t>
  </si>
  <si>
    <t>BARTS HEALTH NHS TRUST</t>
  </si>
  <si>
    <t>RYW</t>
  </si>
  <si>
    <t>BIRMINGHAM COMMUNITY HEALTHCARE NHS TRUST</t>
  </si>
  <si>
    <t>RQ3</t>
  </si>
  <si>
    <t>BIRMINGHAM WOMEN'S AND CHILDREN'S NHS FOUNDATION TRUST</t>
  </si>
  <si>
    <t>RAE</t>
  </si>
  <si>
    <t>BRADFORD TEACHING HOSPITALS NHS FOUNDATION TRUST</t>
  </si>
  <si>
    <t>RXH</t>
  </si>
  <si>
    <t>BRIGHTON AND SUSSEX UNIVERSITY HOSPITALS NHS TRUST</t>
  </si>
  <si>
    <t>RGT</t>
  </si>
  <si>
    <t>CAMBRIDGE UNIVERSITY HOSPITALS NHS FOUNDATION TRUST</t>
  </si>
  <si>
    <t>RW3</t>
  </si>
  <si>
    <t>CENTRAL MANCHESTER UNIVERSITY HOSPITALS NHS FOUNDATION TRUST</t>
  </si>
  <si>
    <t>RQM</t>
  </si>
  <si>
    <t>CHELSEA AND WESTMINSTER HOSPITAL NHS FOUNDATION TRUST</t>
  </si>
  <si>
    <t>RLN</t>
  </si>
  <si>
    <t>CITY HOSPITALS SUNDERLAND NHS FOUNDATION TRUST</t>
  </si>
  <si>
    <t>RJR</t>
  </si>
  <si>
    <t>COUNTESS OF CHESTER HOSPITAL NHS FOUNDATION TRUST</t>
  </si>
  <si>
    <t>RXP</t>
  </si>
  <si>
    <t>COUNTY DURHAM AND DARLINGTON NHS FOUNDATION TRUST</t>
  </si>
  <si>
    <t>RJN</t>
  </si>
  <si>
    <t>EAST CHESHIRE NHS TRUST</t>
  </si>
  <si>
    <t>RXC</t>
  </si>
  <si>
    <t>EAST SUSSEX HEALTHCARE NHS TRUST</t>
  </si>
  <si>
    <t>RDU</t>
  </si>
  <si>
    <t>FRIMLEY HEALTH NHS FOUNDATION TRUST</t>
  </si>
  <si>
    <t>RTE</t>
  </si>
  <si>
    <t>GLOUCESTERSHIRE HOSPITALS NHS FOUNDATION TRUST</t>
  </si>
  <si>
    <t>RN3</t>
  </si>
  <si>
    <t>GREAT WESTERN HOSPITALS NHS FOUNDATION TRUST</t>
  </si>
  <si>
    <t>RJ1</t>
  </si>
  <si>
    <t>GUY'S AND ST THOMAS' NHS FOUNDATION TRUST</t>
  </si>
  <si>
    <t>RCD</t>
  </si>
  <si>
    <t>HARROGATE AND DISTRICT NHS FOUNDATION TRUST</t>
  </si>
  <si>
    <t>RWA</t>
  </si>
  <si>
    <t>HULL AND EAST YORKSHIRE HOSPITALS NHS FOUNDATION TRUST</t>
  </si>
  <si>
    <t>RYJ</t>
  </si>
  <si>
    <t>IMPERIAL COLLEGE HEALTHCARE NHS TRUST</t>
  </si>
  <si>
    <t>RYY</t>
  </si>
  <si>
    <t>KENT COMMUNITY HEALTH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</si>
  <si>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</si>
  <si>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</si>
  <si>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</si>
  <si>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</si>
  <si>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</si>
  <si>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</si>
  <si>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</si>
  <si>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</si>
  <si>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</si>
  <si>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</si>
  <si>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RM1</t>
  </si>
  <si>
    <t>NORFOLK AND NORWICH UNIVERSITY HOSPITALS NHS FOUNDATION TRUST</t>
  </si>
  <si>
    <t>RVJ</t>
  </si>
  <si>
    <t>NORTH BRISTOL NHS TRUST</t>
  </si>
  <si>
    <t>RAP</t>
  </si>
  <si>
    <t>NORTH MIDDLESEX UNIVERSITY HOSPITAL NHS TRUST</t>
  </si>
  <si>
    <t>RVW</t>
  </si>
  <si>
    <t>NORTH TEES AND HARTLEPOOL NHS FOUNDATION TRUST</t>
  </si>
  <si>
    <t>RNS</t>
  </si>
  <si>
    <t>NORTHAMPTON GENERAL HOSPITAL NHS TRUST</t>
  </si>
  <si>
    <t>RTH</t>
  </si>
  <si>
    <t>OXFORD UNIVERSITY HOSPITALS NHS TRUST</t>
  </si>
  <si>
    <t>RW6</t>
  </si>
  <si>
    <t>PENNINE ACUTE HOSPITALS NHS TRUST</t>
  </si>
  <si>
    <t>RK9</t>
  </si>
  <si>
    <t>UNIVERSITY HOSPITALS PLYMOUTH HOSPITALS NHS TRUST</t>
  </si>
  <si>
    <t>RHU</t>
  </si>
  <si>
    <t>PORTSMOUTH HOSPITALS NHS TRUST</t>
  </si>
  <si>
    <t>RHW</t>
  </si>
  <si>
    <t>ROYAL BERKSHIRE NHS FOUNDATION TRUST</t>
  </si>
  <si>
    <t>REF</t>
  </si>
  <si>
    <t>ROYAL CORNWALL HOSPITALS NHS TRUST</t>
  </si>
  <si>
    <t>RH8</t>
  </si>
  <si>
    <t>ROYAL DEVON AND EXETER NHS FOUNDATION TRUST</t>
  </si>
  <si>
    <t>RAL</t>
  </si>
  <si>
    <t>ROYAL FREE LONDON NHS FOUNDATION TRUST</t>
  </si>
  <si>
    <t>RQ6</t>
  </si>
  <si>
    <t>ROYAL LIVERPOOL AND BROADGREEN UNIVERSITY HOSPITALS NHS TRUST</t>
  </si>
  <si>
    <t>RAN</t>
  </si>
  <si>
    <t>ROYAL NATIONAL ORTHOPAEDIC HOSPITAL NHS TRUST</t>
  </si>
  <si>
    <t>RA2</t>
  </si>
  <si>
    <t>ROYAL SURREY COUNTY HOSPITAL NHS FOUNDATION TRUST</t>
  </si>
  <si>
    <t>RD1</t>
  </si>
  <si>
    <t>ROYAL UNITED HOSPITALS BATH NHS FOUNDATION TRUST</t>
  </si>
  <si>
    <t>RM3</t>
  </si>
  <si>
    <t>SALFORD ROYAL NHS FOUNDATION TRUST</t>
  </si>
  <si>
    <t>RNZ</t>
  </si>
  <si>
    <t>SALISBURY NHS FOUNDATION TRUST</t>
  </si>
  <si>
    <t>RTR</t>
  </si>
  <si>
    <t>SOUTH TEES HOSPITALS NHS FOUNDATION TRUST</t>
  </si>
  <si>
    <t>RVY</t>
  </si>
  <si>
    <t>SOUTHPORT AND ORMSKIRK HOSPITAL NHS TRUST</t>
  </si>
  <si>
    <t>RBA</t>
  </si>
  <si>
    <t>TAUNTON AND SOMERSET NHS FOUNDATION TRUST</t>
  </si>
  <si>
    <t>RNA</t>
  </si>
  <si>
    <t>THE DUDLEY GROUP NHS FOUNDATION TRUST</t>
  </si>
  <si>
    <t>RTD</t>
  </si>
  <si>
    <t>THE NEWCASTLE UPON TYNE HOSPITALS NHS FOUNDATION TRUST</t>
  </si>
  <si>
    <t>RCX</t>
  </si>
  <si>
    <t>THE QUEEN ELIZABETH HOSPITAL, KING'S LYNN, NHS FOUNDATION TRUST</t>
  </si>
  <si>
    <t>RKE</t>
  </si>
  <si>
    <t>THE WHITTINGTON HOSPITAL NHS TRUST</t>
  </si>
  <si>
    <t>RA9</t>
  </si>
  <si>
    <t>TORBAY AND SOUTH DEVON NHS FOUNDATION TRUST</t>
  </si>
  <si>
    <t>RRV</t>
  </si>
  <si>
    <t>UNIVERSITY COLLEGE LONDON HOSPITALS NHS FOUNDATION TRUST</t>
  </si>
  <si>
    <t>RHM</t>
  </si>
  <si>
    <t>UNIVERSITY HOSPITAL SOUTHAMPTON NHS FOUNDATION TRUST</t>
  </si>
  <si>
    <t>RRK</t>
  </si>
  <si>
    <t>UNIVERSITY HOSPITALS BIRMINGHAM NHS FOUNDATION TRUST</t>
  </si>
  <si>
    <t>RA7</t>
  </si>
  <si>
    <t>UNIVERSITY HOSPITALS BRISTOL NHS FOUNDATION TRUST</t>
  </si>
  <si>
    <t>RKB</t>
  </si>
  <si>
    <t>UNIVERSITY HOSPITALS COVENTRY AND WARWICKSHIRE NHS TRUST</t>
  </si>
  <si>
    <t>RBK</t>
  </si>
  <si>
    <t>WALSALL HEALTHCARE NHS TRUST</t>
  </si>
  <si>
    <t>RWW</t>
  </si>
  <si>
    <t>WARRINGTON AND HALTON HOSPITALS NHS FOUNDATION TRUST</t>
  </si>
  <si>
    <t>RYR</t>
  </si>
  <si>
    <t>WESTERN SUSSEX HOSPITALS NHS FOUNDATION TRUST</t>
  </si>
  <si>
    <t>RA3</t>
  </si>
  <si>
    <t>WESTON AREA HEALTH NHS TRUST</t>
  </si>
  <si>
    <t>RBL</t>
  </si>
  <si>
    <t>WIRRAL UNIVERSITY TEACHING HOSPITAL NHS FOUNDATION TRUST</t>
  </si>
  <si>
    <t>RWP</t>
  </si>
  <si>
    <t>WORCESTERSHIRE ACUTE HOSPITALS NHS TRUST</t>
  </si>
  <si>
    <t>RA4</t>
  </si>
  <si>
    <t>YEOVIL DISTRICT HOSPITAL NHS FOUNDATION TRUST</t>
  </si>
  <si>
    <t>RCB</t>
  </si>
  <si>
    <t>YORK TEACHING HOSPITAL NHS FOUNDATION TRUST</t>
  </si>
  <si>
    <t>Inactive NHS Providers</t>
  </si>
  <si>
    <t>RNJ</t>
  </si>
  <si>
    <t>BARTS AND THE LONDON NHS TRUST</t>
  </si>
  <si>
    <t>RJX</t>
  </si>
  <si>
    <t>CALDERSTONES PARTNERSHIP NHS FOUNDATION TRUST</t>
  </si>
  <si>
    <t>5QT</t>
  </si>
  <si>
    <t xml:space="preserve">ISLE OF WIGHT NHS PCT </t>
  </si>
  <si>
    <t>5CQ</t>
  </si>
  <si>
    <t>MILTON KEYNES PCT</t>
  </si>
  <si>
    <t>RHX</t>
  </si>
  <si>
    <t>OXFORDSHIRE LEARNING DISABILITY NHS TRUST</t>
  </si>
  <si>
    <t>RWN</t>
  </si>
  <si>
    <t>SOUTH ESSEX PARTNERSHIP UNIVERSITY NHS FOUNDATION TRUST</t>
  </si>
  <si>
    <t>TAE</t>
  </si>
  <si>
    <t>MANCHESTER MENTAL HEALTH AND SOCIAL CARE TRUST</t>
  </si>
  <si>
    <t>Independent Service Providers</t>
  </si>
  <si>
    <t>NVR</t>
  </si>
  <si>
    <t>ALPHA HOSPITALS</t>
  </si>
  <si>
    <t>A7RH</t>
  </si>
  <si>
    <t>ALTERNATIVE FUTURES GROUP LTD</t>
  </si>
  <si>
    <t>8JD96</t>
  </si>
  <si>
    <t>BALDOCK MANOR</t>
  </si>
  <si>
    <t>8AM50</t>
  </si>
  <si>
    <t>BILLINGHAM GRANGE</t>
  </si>
  <si>
    <t>8J554</t>
  </si>
  <si>
    <t>BREIGHTMET CENTRE</t>
  </si>
  <si>
    <t>NQ9</t>
  </si>
  <si>
    <t>BROOKDALE HEALTHCARE LTD (T/A BROOKDALE CARE)</t>
  </si>
  <si>
    <t>DFL</t>
  </si>
  <si>
    <t>CAMBIAN CHILDCARE LIMITED</t>
  </si>
  <si>
    <t>NT8</t>
  </si>
  <si>
    <t>CAPIO UK</t>
  </si>
  <si>
    <t>NTP</t>
  </si>
  <si>
    <t>CARE UK</t>
  </si>
  <si>
    <t>NTT</t>
  </si>
  <si>
    <t>CAS BEHAVIOURAL HEALTH LIMITED</t>
  </si>
  <si>
    <t>8AP11</t>
  </si>
  <si>
    <t>CASTLE LODGE INDEPENDENT HOSPITAL</t>
  </si>
  <si>
    <t>NDQ</t>
  </si>
  <si>
    <t>CASTLEBECK CARE TEESDALE LTD</t>
  </si>
  <si>
    <t>NRN</t>
  </si>
  <si>
    <t>CHESWOLD PARK HOSPITAL</t>
  </si>
  <si>
    <t>NAW</t>
  </si>
  <si>
    <t>CHOICE LIFESTYLES LTD</t>
  </si>
  <si>
    <t>NHV</t>
  </si>
  <si>
    <t>COMMUNITY LINKS (NORTHERN) LTD</t>
  </si>
  <si>
    <t>AHQ</t>
  </si>
  <si>
    <t>CUROCARE LTD</t>
  </si>
  <si>
    <t>NMJ</t>
  </si>
  <si>
    <t>CYGNET HEALTH CARE LIMITED</t>
  </si>
  <si>
    <t>AG0</t>
  </si>
  <si>
    <t>DANSHELL GROUP</t>
  </si>
  <si>
    <t>NWA</t>
  </si>
  <si>
    <t>ECHOTECH LTD</t>
  </si>
  <si>
    <t>8JC73</t>
  </si>
  <si>
    <t>ELLERN MEDE RIDGEWAY</t>
  </si>
  <si>
    <t>DE8</t>
  </si>
  <si>
    <t>ELYSIUM HEALTHCARE</t>
  </si>
  <si>
    <t>AHN</t>
  </si>
  <si>
    <t>EQUILIBRIUM HEALTHCARE</t>
  </si>
  <si>
    <t>AHY</t>
  </si>
  <si>
    <t>GLEN CARE</t>
  </si>
  <si>
    <t>NRY</t>
  </si>
  <si>
    <t>HUNTERS MOOR NEUROREHABILITATION LTD</t>
  </si>
  <si>
    <t>AHL</t>
  </si>
  <si>
    <t>INMIND HEALTHCARE</t>
  </si>
  <si>
    <t>NVJ</t>
  </si>
  <si>
    <t>JEDHEATH LTD</t>
  </si>
  <si>
    <t>NLN</t>
  </si>
  <si>
    <t>JEESAL AKMAN CARE CORPORATION LTD</t>
  </si>
  <si>
    <t>NL0</t>
  </si>
  <si>
    <t>JOHN MUNROE HOSPITAL</t>
  </si>
  <si>
    <t>NES</t>
  </si>
  <si>
    <t>LIGHTHOUSE HEALTHCARE LIMITED</t>
  </si>
  <si>
    <t>NR5</t>
  </si>
  <si>
    <t>LIVEWELL SOUTHWEST</t>
  </si>
  <si>
    <t>NMQ</t>
  </si>
  <si>
    <t>MAKING SPACE</t>
  </si>
  <si>
    <t>AJE</t>
  </si>
  <si>
    <t>MENTAL HEALTH CARE  LTD</t>
  </si>
  <si>
    <t>NXQ</t>
  </si>
  <si>
    <t>MODUS CARE</t>
  </si>
  <si>
    <t>NQL</t>
  </si>
  <si>
    <t>NAVIGO</t>
  </si>
  <si>
    <t>NVH</t>
  </si>
  <si>
    <t>NO 27 (BURNSIDE CARE)</t>
  </si>
  <si>
    <t>AEXN</t>
  </si>
  <si>
    <t>OPTIONS FOR CARE LTD</t>
  </si>
  <si>
    <t>NMV</t>
  </si>
  <si>
    <t>PARTNERSHIPS IN CARE LTD</t>
  </si>
  <si>
    <t>NCP</t>
  </si>
  <si>
    <t>PREMIER HEALTH &amp; SPORT THERAPY LTD</t>
  </si>
  <si>
    <t>NTN</t>
  </si>
  <si>
    <t>PRIORY GROUP LIMITED</t>
  </si>
  <si>
    <t>NR0</t>
  </si>
  <si>
    <t>RAPHAEL HEALTHCARE LTD</t>
  </si>
  <si>
    <t>NRC</t>
  </si>
  <si>
    <t>RIVERDALE GRANGE LIMITED</t>
  </si>
  <si>
    <t>8CL59</t>
  </si>
  <si>
    <t>SHREWSBURY COURT INDEPENDENT HOSPITAL</t>
  </si>
  <si>
    <t>NYA</t>
  </si>
  <si>
    <t>ST ANDREW'S HEALTHCARE</t>
  </si>
  <si>
    <t>NQ4</t>
  </si>
  <si>
    <t>ST GEORGE HEALTHCARE GROUP</t>
  </si>
  <si>
    <t>NR6</t>
  </si>
  <si>
    <t>ST LUKES HEALTH CARE</t>
  </si>
  <si>
    <t>8CM63</t>
  </si>
  <si>
    <t>ST MAGNUS HOSPITAL</t>
  </si>
  <si>
    <t>8K919</t>
  </si>
  <si>
    <t>ST MARTHA'S</t>
  </si>
  <si>
    <t>NFJ</t>
  </si>
  <si>
    <t>ST MATTHEWS LIMITED</t>
  </si>
  <si>
    <t>8DJ77</t>
  </si>
  <si>
    <t>THE HAMPTONS</t>
  </si>
  <si>
    <t>NV2</t>
  </si>
  <si>
    <t>THE HUNTERCOMBE GROUP</t>
  </si>
  <si>
    <t>NPE</t>
  </si>
  <si>
    <t>THE RETREAT HOSPITAL</t>
  </si>
  <si>
    <t>NKD</t>
  </si>
  <si>
    <t>THE YOUTH ENQUIRY SERVICE (PLYMOUTH) LTD</t>
  </si>
  <si>
    <t>NLH</t>
  </si>
  <si>
    <t>TRANSITIONAL REHABILITATION UNIT (TRU)</t>
  </si>
  <si>
    <t>NKI</t>
  </si>
  <si>
    <t>TURNING POINT</t>
  </si>
  <si>
    <t>8G046</t>
  </si>
  <si>
    <t>UPLANDS</t>
  </si>
  <si>
    <t>8J339</t>
  </si>
  <si>
    <t>VISION MENTAL HEALTHCARE</t>
  </si>
  <si>
    <t>8CJ54</t>
  </si>
  <si>
    <t>WOODLEIGH COMMUNITY INDEPENDENT HOSPITAL</t>
  </si>
  <si>
    <t>NR1</t>
  </si>
  <si>
    <t>WOODSIDE HOSPITAL</t>
  </si>
  <si>
    <t>Other Independent Sector Healthcare Providers</t>
  </si>
  <si>
    <r>
      <rPr>
        <b/>
        <sz val="10"/>
        <rFont val="Arial"/>
        <family val="2"/>
      </rPr>
      <t xml:space="preserve">Footnotes:
</t>
    </r>
    <r>
      <rPr>
        <sz val="10"/>
        <rFont val="Arial"/>
        <family val="2"/>
      </rPr>
      <t>1) For counts derived from MHSDS data, the totals for 'All Providers' may not match the sum of individual providers' data, or the sum of the two categories 'NHS Providers' and 'Independent Providers'. This is due to data quality issues which mean that a person can be recorded as being subject to the Act at 31st March in two or more different providers.</t>
    </r>
  </si>
  <si>
    <t>2) From 2019, Acute providers can provide data about their uses of the Act in the ECDS. However we were unable to derive counts of people from the ECDS data and therefore data from 2019 onwards are from MHSDS only.</t>
  </si>
  <si>
    <t>Copyright © 2021, Health and Social Care Information Centre. NHS Digital is the trading name of the Health and Social Care Information Centre.</t>
  </si>
  <si>
    <t>Number of times person was detained during period</t>
  </si>
  <si>
    <t>7 and over</t>
  </si>
  <si>
    <r>
      <t>Base Population</t>
    </r>
    <r>
      <rPr>
        <b/>
        <vertAlign val="superscript"/>
        <sz val="10"/>
        <color theme="1"/>
        <rFont val="Arial"/>
        <family val="2"/>
      </rPr>
      <t>1</t>
    </r>
  </si>
  <si>
    <t>Total people</t>
  </si>
  <si>
    <t>Not known</t>
  </si>
  <si>
    <t>British</t>
  </si>
  <si>
    <t>Irish</t>
  </si>
  <si>
    <t>Other White Background</t>
  </si>
  <si>
    <t>Other Mixed Background</t>
  </si>
  <si>
    <t>Asian</t>
  </si>
  <si>
    <t>Other Asian background</t>
  </si>
  <si>
    <t>Other Black Background</t>
  </si>
  <si>
    <t>Any other ethnic group</t>
  </si>
  <si>
    <t>Not stated</t>
  </si>
  <si>
    <t>Source: MHSDS - NHS Digital</t>
  </si>
  <si>
    <r>
      <rPr>
        <b/>
        <sz val="10"/>
        <color indexed="8"/>
        <rFont val="Arial"/>
        <family val="2"/>
      </rPr>
      <t>Footnotes:</t>
    </r>
    <r>
      <rPr>
        <sz val="10"/>
        <color indexed="8"/>
        <rFont val="Arial"/>
        <family val="2"/>
      </rPr>
      <t xml:space="preserve">
1) ONS mid-year population estimates 2020 are used for the Gender and Age Base Populations. The ONS Census 2011 - table reference: DC2101EW - Ethnic group by sex by age, QS211EW - Ethnic group (detailed) data is used for the Ethnicity base population.</t>
    </r>
  </si>
  <si>
    <t xml:space="preserve">Number of discharges </t>
  </si>
  <si>
    <r>
      <rPr>
        <b/>
        <sz val="10"/>
        <color indexed="8"/>
        <rFont val="Arial"/>
        <family val="2"/>
      </rPr>
      <t xml:space="preserve">Footnotes
</t>
    </r>
    <r>
      <rPr>
        <sz val="10"/>
        <color indexed="8"/>
        <rFont val="Arial"/>
        <family val="2"/>
      </rPr>
      <t>1) The total for 'All' detentions is calculated from both the MHSDS and ECDS collections. It includes detentions where the age and gender details were not submitted. The totals for 'All age groups' and 'All genders' are from MHSDS only since the ECDS collection does not allow for further demographic breakdowns.
2) The total for 'All' discharges is calculated from the MHSDS collection. Discharges are calculated with reference to both end of MHA section and end of hospital spell. Where detentions follow concurrently, discharge is only recorded at the end of the final hospital spell rather than for each separate detention. Discharge that occurs in the following year are not shown. Discharges following detention in the previous year are also not shown. Rates of discharge are therefore only shown for broad comparison.
3) The total for 'All genders' is lower than for 'All' as these exclude records where these characteristics were either recorded as 'Not stated' and 'Not known' or where they were not submitted.
4) ONS mid-year population estimates 2020.</t>
    </r>
  </si>
  <si>
    <t>Number of discharges</t>
  </si>
  <si>
    <r>
      <t>Footnotes</t>
    </r>
    <r>
      <rPr>
        <sz val="10"/>
        <color indexed="8"/>
        <rFont val="Arial"/>
        <family val="2"/>
      </rPr>
      <t xml:space="preserve">
1) The total for 'All' is calculated from both the MHSDS and ECDS collections. It includes detentions where the ethnicity was not submitted.Further breakdowns are from MHSDS only since the ECDS collection does not allow for further demographic breakdowns.
2) The total for 'All' discharges is calculated from the MHSDS collection. Discharges are calculated with reference to both end of MHA section and end of hospital spell. Where detentions follow concurrently, discharge is only recorded at the end of the final hospital spell rather than for each separate detention. Discharge that occurs in the following year are not shown. Discharges following detention in the previous year are also not shown. Rates of discharge are therefore only shown for broad comparison.
3) The total for 'All ethnicities' is lower than for 'All' as it excludes records where any of age, gender or ethnicity was either recorded as 'Not stated' and 'Not known' or where it was not submitted. This information was required for direct standardisation of population-based rates.
4) ONS Census 2011 - table reference: DC2101EW - Ethnic group by sex by age, QS211EW - Ethnic group (detailed)</t>
    </r>
  </si>
  <si>
    <t>All</t>
  </si>
  <si>
    <t>Unknown</t>
  </si>
  <si>
    <t>2021-22</t>
  </si>
  <si>
    <t>tag_table1a_1</t>
  </si>
  <si>
    <t>tag_table1a_2</t>
  </si>
  <si>
    <t>tag_table1a_3</t>
  </si>
  <si>
    <t>tag_table1a_4</t>
  </si>
  <si>
    <t>tag_table1a_5</t>
  </si>
  <si>
    <t>tag_table1a_6</t>
  </si>
  <si>
    <t>tag_table1a_7</t>
  </si>
  <si>
    <t>tag_table1a_8</t>
  </si>
  <si>
    <t>tag_table1a_9</t>
  </si>
  <si>
    <t>tag_table1a_10</t>
  </si>
  <si>
    <t>tag_table1a_11</t>
  </si>
  <si>
    <t>tag_table1a_12</t>
  </si>
  <si>
    <t>tag_table1a_13</t>
  </si>
  <si>
    <t>tag_table1a_14</t>
  </si>
  <si>
    <t>tag_table1a_15</t>
  </si>
  <si>
    <t>tag_table1a_16</t>
  </si>
  <si>
    <t>tag_table1a_17</t>
  </si>
  <si>
    <t>tag_table1a_18</t>
  </si>
  <si>
    <t>tag_table1a_19</t>
  </si>
  <si>
    <t>tag_table1a_20</t>
  </si>
  <si>
    <t>tag_table1a_21</t>
  </si>
  <si>
    <t>tag_table1a_22</t>
  </si>
  <si>
    <t>tag_table1a_23</t>
  </si>
  <si>
    <t>tag_table1a_24</t>
  </si>
  <si>
    <t>`</t>
  </si>
  <si>
    <t>tag_table2a_1</t>
  </si>
  <si>
    <t>tag_table2a_2</t>
  </si>
  <si>
    <t>tag_table2a_3</t>
  </si>
  <si>
    <t>tag_table2a_4</t>
  </si>
  <si>
    <t>tag_table2a_5</t>
  </si>
  <si>
    <t>tag_table2a_6</t>
  </si>
  <si>
    <t>tag_table2a_7</t>
  </si>
  <si>
    <t>tag_table2a_8</t>
  </si>
  <si>
    <t>tag_table2a_9</t>
  </si>
  <si>
    <t>tag_table2a_10</t>
  </si>
  <si>
    <t>tag_table2a_11</t>
  </si>
  <si>
    <t>tag_table2a_12</t>
  </si>
  <si>
    <t>tag_table3a_1</t>
  </si>
  <si>
    <t>tag_table3a_2</t>
  </si>
  <si>
    <t>tag_table3a_3</t>
  </si>
  <si>
    <t>tag_table3a_4</t>
  </si>
  <si>
    <t>tag_table3a_5</t>
  </si>
  <si>
    <t>tag_table3a_6</t>
  </si>
  <si>
    <t>tag_table3a_7</t>
  </si>
  <si>
    <t>tag_table3a_8</t>
  </si>
  <si>
    <t>tag_table3a_9</t>
  </si>
  <si>
    <t>tag_table3a_10</t>
  </si>
  <si>
    <t>tag_table3a_11</t>
  </si>
  <si>
    <t>tag_table3a_12</t>
  </si>
  <si>
    <t>tag_table4_1</t>
  </si>
  <si>
    <t>tag_table4_2</t>
  </si>
  <si>
    <t>tag_table4_3</t>
  </si>
  <si>
    <t>tag_table4_4</t>
  </si>
  <si>
    <t>tag_table4_5</t>
  </si>
  <si>
    <t>tag_table4_6</t>
  </si>
  <si>
    <t>Table 8a</t>
  </si>
  <si>
    <t>Table 8b</t>
  </si>
  <si>
    <t>Table 8c</t>
  </si>
  <si>
    <t>Number of separate episodes as part of continuous MHA spell</t>
  </si>
  <si>
    <t>Appendix 1</t>
  </si>
  <si>
    <t>Severity of Detention</t>
  </si>
  <si>
    <t>Note: In cases where multiple contiguous sections are applied to the same episode, the episode is allocated to the section with the highest level of restrictiveness.</t>
  </si>
  <si>
    <t>By Gender</t>
  </si>
  <si>
    <t>By Ageband</t>
  </si>
  <si>
    <t>By deprivation (IMD decile)</t>
  </si>
  <si>
    <t>By Ethnic Group</t>
  </si>
  <si>
    <t>By Ethnicity</t>
  </si>
  <si>
    <t>Any Other Asian background</t>
  </si>
  <si>
    <t>All Detentions</t>
  </si>
  <si>
    <t>n</t>
  </si>
  <si>
    <t>1st quartile</t>
  </si>
  <si>
    <t>median</t>
  </si>
  <si>
    <t>3rd quartile</t>
  </si>
  <si>
    <t>Part II</t>
  </si>
  <si>
    <t>Formally detained under Mental Health Act Section 2</t>
  </si>
  <si>
    <t>Formally detained under Mental Health Act Section 3</t>
  </si>
  <si>
    <t>Formally detained under Mental Health Act Section 4</t>
  </si>
  <si>
    <t>Formally detained under Mental Health Act Section 5(2)</t>
  </si>
  <si>
    <t>Formally detained under Mental Health Act Section 5(4)</t>
  </si>
  <si>
    <t>Court and prison disposals</t>
  </si>
  <si>
    <t>Formally detained under Mental Health Act Section 35</t>
  </si>
  <si>
    <t>Formally detained under Mental Health Act Section 36</t>
  </si>
  <si>
    <t>Formally detained under Mental Health Act Section 37 with section 41 restrictions</t>
  </si>
  <si>
    <t>Formally detained under Mental Health Act Section 37</t>
  </si>
  <si>
    <t>Formally detained under Mental Health Act Section 38</t>
  </si>
  <si>
    <t>Formally detained under Mental Health Act Section 45A</t>
  </si>
  <si>
    <t>Formally detained under Mental Health Act Section 46</t>
  </si>
  <si>
    <t>Formally detained under Mental Health Act Section 47 with section 49 restrictions</t>
  </si>
  <si>
    <t>Formally detained under Mental Health Act Section 47</t>
  </si>
  <si>
    <t>Formally detained under Mental Health Act Section 48 with section 49 restrictions</t>
  </si>
  <si>
    <t>Formally detained under Mental Health Act Section 48</t>
  </si>
  <si>
    <t>Subject to guardianship under Mental Health Act Section 7</t>
  </si>
  <si>
    <t>Subject to guardianship under Mental Health Act Section 37</t>
  </si>
  <si>
    <t>Formally detained under other acts</t>
  </si>
  <si>
    <t>Formally detained under Criminal Proceedings (Insanity) Act 1964 as amended by the Criminal Procedures (Insanity and Unfitness to Plead) Act 1991</t>
  </si>
  <si>
    <t>Place of Safety</t>
  </si>
  <si>
    <t>Formally detained under Mental Health Act Section 135</t>
  </si>
  <si>
    <t>Formally detained under Mental Health Act Section 136</t>
  </si>
  <si>
    <r>
      <rPr>
        <b/>
        <sz val="10"/>
        <color indexed="8"/>
        <rFont val="Arial"/>
        <family val="2"/>
      </rPr>
      <t xml:space="preserve">Footnotes
</t>
    </r>
    <r>
      <rPr>
        <sz val="10"/>
        <color indexed="8"/>
        <rFont val="Arial"/>
        <family val="2"/>
      </rPr>
      <t xml:space="preserve">                                                   </t>
    </r>
  </si>
  <si>
    <t>Community Treatment Order</t>
  </si>
  <si>
    <t>Number of separate episodes as part of continuous MHA episode</t>
  </si>
  <si>
    <t>Number of separate episodes</t>
  </si>
  <si>
    <t>MHA and CTO episodes</t>
  </si>
  <si>
    <t xml:space="preserve">Total continuous episodes </t>
  </si>
  <si>
    <t>10+</t>
  </si>
  <si>
    <t>The following table shows how Sections have been grouped and ordered according to their restrictiveness. Where a continuous MHA episode is grouped under a single section this represents the most restrictive section used according to the table below.</t>
  </si>
  <si>
    <t>MHA Severity Order</t>
  </si>
  <si>
    <t>Description</t>
  </si>
  <si>
    <t>Category</t>
  </si>
  <si>
    <t>Formally detained under Mental Health Act Section 44</t>
  </si>
  <si>
    <t>Civil Community-based Detention</t>
  </si>
  <si>
    <t>Supervised Discharge (Mental Health (Patients in the Community) Act 1995)</t>
  </si>
  <si>
    <t>Previous legislation other Acts</t>
  </si>
  <si>
    <t>Place of safety</t>
  </si>
  <si>
    <t>Publication Date: 26 October 2022</t>
  </si>
  <si>
    <r>
      <rPr>
        <sz val="11"/>
        <rFont val="Arial"/>
        <family val="2"/>
      </rPr>
      <t xml:space="preserve">Link to publication: </t>
    </r>
    <r>
      <rPr>
        <u/>
        <sz val="11"/>
        <color theme="10"/>
        <rFont val="Arial"/>
        <family val="2"/>
      </rPr>
      <t>http://digital.nhs.uk/pubs/mha2022</t>
    </r>
  </si>
  <si>
    <t>Mental Health Act Statistics, Annual Figures 2021-22</t>
  </si>
  <si>
    <t>tag_table8a_1</t>
  </si>
  <si>
    <t>tag_table8a_2</t>
  </si>
  <si>
    <t>tag_table8a_3</t>
  </si>
  <si>
    <t>tag_table8b_1</t>
  </si>
  <si>
    <t>tag_table8b_2</t>
  </si>
  <si>
    <t>tag_table8b_3</t>
  </si>
  <si>
    <t>tag_table8b_4</t>
  </si>
  <si>
    <t>tag_table8b_5</t>
  </si>
  <si>
    <t>tag_table8b_6</t>
  </si>
  <si>
    <t>tag_table8b_7</t>
  </si>
  <si>
    <t>tag_table8b_8</t>
  </si>
  <si>
    <t>tag_table8b_9</t>
  </si>
  <si>
    <t>tag_table8b_10</t>
  </si>
  <si>
    <t>tag_table8b_15</t>
  </si>
  <si>
    <t>tag_table8b_20</t>
  </si>
  <si>
    <t>tag_table8b_25</t>
  </si>
  <si>
    <t>tag_table8b_30</t>
  </si>
  <si>
    <t>tag_table8b_14</t>
  </si>
  <si>
    <t>tag_table8b_19</t>
  </si>
  <si>
    <t>tag_table8b_24</t>
  </si>
  <si>
    <t>tag_table8b_29</t>
  </si>
  <si>
    <t>tag_table8b_13</t>
  </si>
  <si>
    <t>tag_table8b_18</t>
  </si>
  <si>
    <t>tag_table8b_23</t>
  </si>
  <si>
    <t>tag_table8b_28</t>
  </si>
  <si>
    <t>tag_table8b_12</t>
  </si>
  <si>
    <t>tag_table8b_17</t>
  </si>
  <si>
    <t>tag_table8b_16</t>
  </si>
  <si>
    <t>tag_table8b_22</t>
  </si>
  <si>
    <t>tag_table8b_21</t>
  </si>
  <si>
    <t>tag_table8b_27</t>
  </si>
  <si>
    <t>tag_table8b_26</t>
  </si>
  <si>
    <t>tag_table8a_5</t>
  </si>
  <si>
    <t>tag_table8a_6</t>
  </si>
  <si>
    <t>tag_table8a_7</t>
  </si>
  <si>
    <t>tag_table8a_4</t>
  </si>
  <si>
    <t>tag_table8a_8</t>
  </si>
  <si>
    <t>tag_table8a_12</t>
  </si>
  <si>
    <t>tag_table8a_16</t>
  </si>
  <si>
    <t>tag_table8a_20</t>
  </si>
  <si>
    <t>tag_table8a_24</t>
  </si>
  <si>
    <t>tag_table8a_11</t>
  </si>
  <si>
    <t>tag_table8a_15</t>
  </si>
  <si>
    <t>tag_table8a_19</t>
  </si>
  <si>
    <t>tag_table8a_23</t>
  </si>
  <si>
    <t>tag_table8a_10</t>
  </si>
  <si>
    <t>tag_table8a_9</t>
  </si>
  <si>
    <t>tag_table8a_14</t>
  </si>
  <si>
    <t>tag_table8a_13</t>
  </si>
  <si>
    <t>tag_table8a_18</t>
  </si>
  <si>
    <t>tag_table8a_17</t>
  </si>
  <si>
    <t>tag_table8a_22</t>
  </si>
  <si>
    <t>tag_table8a_21</t>
  </si>
  <si>
    <t>Length of Detention of patients discharged from hospital when previously detained under the Mental Health Act 1983, by section, age group, gender, ethnicity and deprivation decile, 2021-22, excluding CTOs</t>
  </si>
  <si>
    <t>Length of Detention of patients discharged from hospital when previously detained under the Mental Health Act 1983, by section, age group, gender, ethnicity and deprivation decile, 2021-22, including CTOs</t>
  </si>
  <si>
    <t>Detentions under the Mental Health Act 1983, by legal status and provider type, 2013-14 to 2021-22</t>
  </si>
  <si>
    <t xml:space="preserve">This table shows the number of detentions starting in the year, including both civil detentions under Part II and detentions via the Criminal Justice System under Part III of the Act. 
From 2016-17, data is not comparable to previous years due to the change in data source from the KP90 collection to the MHSDS. For further details please refer to the Background Data Quality Report.
Detentions are broken down into those occurring on admission and those that followed admission to hospital.  The total also includes detentions following use of a Place of Safety order or after the revocation of a Community Treatment Order (CTO).
The count of detentions does not include uses of Sections 4, 5(2) &amp; 5(4) or 135 &amp; 136, which are presented in Table 2 as Uses of Short Term Orders.  A short term order may be followed by a detention under Sections 2 or 3, and these detentions are shown under the heading ‘Detentions following admission to hospital’ and ‘Detentions following use of Place of Safety Order’.
Data for NHS Providers and Independent Sector Providers only includes data from MHSDS for 2021-22. This is due to small numbers in the ECDS data so these have not been included in these counts to prevent disclosure of small numbers.
Further details of analytical methods can be found in the metadata file.
</t>
  </si>
  <si>
    <t>Sources: KP90 (2013-14 to 2015-16), MHSDS/MHA Acute (2016-17 to 2017-18), MHSDS/ECDS (2018-19 to 2021-22) - NHS Digital</t>
  </si>
  <si>
    <t>Footnotes:
1) For 2016-17 data, there is a discrepancy of 8 detentions between the 'All detentions' figure and the sum of the individual categories. For 2017-18 data, there is a discrepancy of 9 detentions between the 'All detentions' figure and the sum of the individual categories. For 2018-19 data, there is a discrepency of 15 detentions between the 'All detentions' figure and the sum of the individual categories. For 2019-20 data, there is a discrepancy of 9 detentions between the 'All detentions' figure and the sum of the individual categories. For 2021-22 data, there is a discrepency of 29 detentions between the 'All detentions' figure and the sum of the individual categories. This is due to difficulties in determining the sequence of events in these cases, using the record-level MHSDS data.
2) In 2016-17, 7,091 transfers on section were recorded. Of these 5,528 were recorded by NHS providers and 1,563 were recorded by Independent Sector providers. In 2017-18, 4,747 transfers on section were recorded. Of these 3,783 were recorded by NHS providers and 964 were recorded by Independent Sector providers. In 2018-19, 4,909 transfers on section were recorded. Of these 3,900 were recorded by NHS providers and 1,009 were recorded by Independent Sector providers. In 2019-20, 5,253 transfers on section were recorded. Of these 4,268 were recorded by NHS providers and 985 were recorded by Independent Sector providers. In 2021-22, 4,807 transfers on section were recorded. Of these 3,736 were recorded by NHS providers and 1,071 were recorded by Independent Sector providers.
3) From 2016-17, numbers for detentions on admission and detentions following admission to hospital are affected by the quality of time recording in MHSDS. Further details are provided in the Background Data Quality Report.
4) For 2016-17 and 2017-18, this total is higher than the sum of components due to the inclusion of data from the Acute collection for 'any other formal admissions', which cannot be allocated to any of the components.
5) For 2017-18, 2019-20 and 2021-22, there is a discrepancy of one detention between the total and components due to a data quality issue.
6) Detentions recorded in ECDS have been all been included in the Detentions on Admission category only. This is because it has not been possible to conclude whether the detention occured on admission or following admission. The detentions that occured appear to have happened on the same day but further analysis and improved data quality is required to improve reporting of detentions on admission and following admission in ECDS.
7) Data for NHS and Independent provider splits is only displayed from MHSDS for 2021-22. This is due to small numbers in the ECDS data for Independent providers.</t>
  </si>
  <si>
    <t>Detentions under the Mental Health Act 1983, by age group and gender, 2021-22</t>
  </si>
  <si>
    <t>This table shows the numbers and rates of detention by age group and gender, for 2021-22.
Detentions data are incomplete in 2021-22 so the counts and rates shown are lower than the true figures. However, broad comparisons between groups are valid.
Population figures are ONS mid-year population estimates 2020.</t>
  </si>
  <si>
    <t>Sources: MHSDS / MHA Acute 2021-22 - NHS Digital, ONS mid-year population estimates 2020.</t>
  </si>
  <si>
    <t>Detentions under the Mental Health Act 1983, by ethnicity, 2021-22</t>
  </si>
  <si>
    <t>This table shows the numbers and rates of detention by ethnicity, for 2021-22.
Detentions data are incomplete in 2021-22 so the counts and rates shown are lower than the true figures. However, broad comparisons between groups are valid.
Population figures are from the 2011 Census as ONS mid-year estimates do not include updates for ethnicity.</t>
  </si>
  <si>
    <t>Sources: MHSDS, ECDS 2021-22 - NHS Digital</t>
  </si>
  <si>
    <t>Detentions under the Mental Health Act 1983, by Sustainability and Transformation Partnership (STP) area, 2021-22</t>
  </si>
  <si>
    <t>This table shows the numbers and rates of detention by STP area, for 2021-22.
Detentions data are incomplete in 2021-22 so the counts and rates shown are lower than the true figures. 
Missing data for particular providers means that comparisons between STP areas must be made with caution, as areas with low completion rates will record low rates of detention which are not representative of the true picture. For further details of shortfalls in coverage, please refer to the Background Data Quality Report.
Population figures are based on ONS mid-2019 population estimates for 2020 CCG mapped to STP.</t>
  </si>
  <si>
    <t>This table shows the number of detentions across gender, age group and ethnicity for 2021-22.
Detentions data are incomplete in 2021-22 so the counts shown are lower than the true figures. However, broad comparisons between groups are valid.</t>
  </si>
  <si>
    <t>Detentions under the Mental Health Act 1983, by Clinical Commissioning Group (CCG) area, 2021-22</t>
  </si>
  <si>
    <t>This table shows the numbers and rates of detention by CCG area, for 2021-22
Detentions data are incomplete in 2021-22 so the counts and rates shown are lower than the true figures. 
Population figures are ONS mid-2019 population estimates for 2020.</t>
  </si>
  <si>
    <t>Detentions under the Mental Health Act 1983, by IMD decile, 2021-22</t>
  </si>
  <si>
    <t>This table shows the numbers and rates of detention by IMD Decile, for 2021-22.
Detentions data are incomplete in 2021-22 so the counts and rates shown are lower than the true figures. 
Population figures are ONS mid-year population estimates 2017.</t>
  </si>
  <si>
    <t>Detentions under the Mental Health Act 1983, by IMD decile and ethnicity, 2021-22</t>
  </si>
  <si>
    <t>Uses of Short Term Orders under the Mental Health Act 1983 by provider type, 2013-14 to 2021-22</t>
  </si>
  <si>
    <t>Short-term detention orders are those of no greater than 24 hours' duration, except where a doctor has approved a further 12 hour extension. Prior to December 2017, the time limit for these orders was 72 hours.
The figures for Place of Safety orders only include those where the ‘place of safety’ was a hospital. Orders made where the ‘place of safety’ was a police station are reported separately by the Home Office.
Data for NHS Providers and Independent Sector Providers only includes data from MHSDS for 2021-22. This is due to small numbers in the ECDS data so these have not been included in these counts to prevent disclosure of small numbers.</t>
  </si>
  <si>
    <t>Sources: KP90 (2013-14 to 2015-16), MHSDS/MHA Acute (2016-17 to 2017-18), MHSDS/ECDS (2018-19, to 2021-22) - NHS Digital</t>
  </si>
  <si>
    <t>Footnotes:
1)  Data for NHS and Independent provider splits is only displayed from MHSDS for 2021-22. This is due to small numbers in the ECDS data for Independent providers.
2) Totals include data from ECDS but some of the breakdowns only include MHSDS data so the sum of the breakdowns may not match the Total figures.</t>
  </si>
  <si>
    <t>Uses of Short Term Detention Orders (Place of Safety Orders: Section 136) under the Mental Health Act 1983 by age group and gender, 2021-22</t>
  </si>
  <si>
    <t>This table shows counts and rates of uses of section 136 by age group and gender, in 2021-22.
Data about uses of Section 136 are incomplete in 2021-22 so the counts and rates shown are lower than the true figures. 
Population figures are ONS mid-year population estimates 2020.</t>
  </si>
  <si>
    <t>Uses of Short Term Detention Orders (Place of Safety Orders: Section 136) under the Mental Health Act 1983 by ethnicity 2021-22</t>
  </si>
  <si>
    <t>This table shows counts and rates of uses of section 136 by ethnicity, in 2021-22.
Data about uses of Section 136 are incomplete in 2021-22 so the counts and rates shown are lower than the true figures. 
Population figures are from the 2011 Census as ONS mid-year estimates do not include updates for ethnicity.</t>
  </si>
  <si>
    <t>Uses of Community Treatment Orders (CTOs) by provider type, 2013-14 to 2021-22</t>
  </si>
  <si>
    <t>Footnotes:
1) From 2016-17 to 2021-22, data submitted to the MHSDS table MHS404 (Community Treatment Orders) by Lancashire Care NHS Foundation Trust (RW5) has been excluded from the CTO counts due to data quality issues.
2) Whilst the Mental Health Act does not allow people to go from an informal admission to a Community Treatment Order these numbers have been included to highlight the data quality issues surrounding CTO data. This includes the preceeding legal status being recorded as being not applicable or a missing value.
3) In the MHSDS, this includes a variety of scenarios including instances where the preceeding legal status was stated as unknown.
4) Where the revocations of CTO are higher than the CTO recalls to hospital it is likely that these counts do not match up due to the fact that these are in year counts. As such it is possible for a person to be be recalled to hospital in the previous reporting period and then have their CTO revoked in this reporting period.</t>
  </si>
  <si>
    <t>Uses of Community Treatment Orders (CTOs) by age group and gender, 2021-22</t>
  </si>
  <si>
    <t>This table shows the numbers and rates of CTO use by age group and gender, for 2021-22.
CTO data are incomplete in 2021-22 so the counts and rates shown may be lower than the true figures. However, broad comparisons between groups are valid.
Population figures are ONS mid-year population estimates 2020.</t>
  </si>
  <si>
    <t>Uses of Community Treatment Orders (CTOs) by ethnicity, 2021-22</t>
  </si>
  <si>
    <t>This table shows the numbers and rates of CTO use by ethnicity, for 2021-22.
Population figures are from the 2011 Census as ONS mid-year estimates do not include updates for ethnicity.
Detentions data are incomplete in 2021-22 so the counts and rates shown may be lower than the true figures. However, broad comparisons between groups are valid.</t>
  </si>
  <si>
    <t>Uses of Sections 2 and 3 of the Mental Health Act 1983 by provider type, 2013-14 to 2021-22</t>
  </si>
  <si>
    <t xml:space="preserve">This table presents all uses of Sections 2 and 3, by section.  All the figures are included in Table 1, except the change in legal status from Section 2 to 3 (the patient is already detained when the section 3 starts) and ‘other sections to Section 3’, which cover unexpected scenarios in the data, not part of the previous publication series.
From 2016-17, data is not comparable to previous years due to the change in data source from the KP90 collection to the MHSDS. For further details please refer to the Background Data Quality Report.
Data for NHS Providers and Independent Sector Providers only includes data from MHSDS for 2021-22. This is due to small numbers in the ECDS data so these have not been included in these counts to prevent disclosure of small numbers.
</t>
  </si>
  <si>
    <t>Footnotes:
1)  Data for NHS and Independent provider splits is only displayed from MHSDS for 2021-22. This is due to small numbers in the ECDS data for Independent providers.
2) Totals include data from ECDS but the breakdwons only include MHSDS data.
3) Detentions recorded in ECDS have been all been included in the Detentions on Admission category only. This is because it has not been possible to conclude whether the detention occured on admission or following admission. The detentions that occured appear to have happened on the same day but further analysis and improved data quality is required to improve reporting of detentions on admission and following admission in ECDS.</t>
  </si>
  <si>
    <t>Sources: KP90 (2013-14 to 2015-16), MHSDS/MHA Acute (2016-17 to 2017-18), MHSDS (2018-19 to 2021-22) - NHS Digital</t>
  </si>
  <si>
    <t>People subject to repeated detention under the Mental Health Act 1983, by age group, gender and ethnicity, 2021-22</t>
  </si>
  <si>
    <t>This table shows how many times each person was detained (repeated detention) under the Mental Health Act 1983 during 2021-22. This type of analysis could not be performed from the KP90 aggregate data collection.
Demographic breakdowns use the last set of person characteristics (e.g. age, gender or ethnicity) recorded in the year. This is to prevent instances where one person may have been recorded with different characteristics in different submissions. By taking the latest available demographics this ensures each person is consistently assigned with one age, gender and ethnic group. Caution should therefore be used when interpreting small numbers due to possible data quality issues.
Please note that this table shows people subject to repeated detention during 2021-22. It does not take into account detentions that occurred in previous periods.</t>
  </si>
  <si>
    <t>Discharges from hospital when previously detained under the Mental Health Act 1983, by age group and gender, 2021-22</t>
  </si>
  <si>
    <t>This table shows the numbers and rates of discharge by age group and gender, for 2021-22. Discharges are counted as people discharged from hospital who have been previously detained.
Detentions data are incomplete in 2021-22 so the counts and rates shown are lower than the true figures. However, broad comparisons between groups are valid.
Population figures are ONS mid-year population estimates 2020.</t>
  </si>
  <si>
    <t>Sources: MHSDS / MHA Acute 2021-22 - NHS Digital, ONS mid-2019 population estimates for 2020.</t>
  </si>
  <si>
    <t>Discharges from hospital when previously detained under the Mental Health Act 1983, by ethnicity, 2021-22</t>
  </si>
  <si>
    <t>This table shows the numbers and rates of discharge by ethnicity, for 2021-22.
Detentions data are incomplete in 2021-22 so the counts and rates shown are lower than the true figures. However, broad comparisons between groups are valid.
Population figures are from the 2011 Census as ONS mid-year estimates do not include updates for ethnicity.</t>
  </si>
  <si>
    <t xml:space="preserve">This table shows how long each person was detained (repeated detention) under the Mental Health Act 1983 during 2021-22. 
Demographic breakdowns use the last set of person characteristics (e.g. age, gender or ethnicity) recorded in the year. This is to prevent instances where one person may have been recorded with different characteristics in different submissions. By taking the latest available demographics this ensures each person is consistently assigned with one age, gender and ethnic group. Caution should therefore be used when interpreting small numbers due to possible data quality issues.
Please note that this table shows people who were no longer subject to Act at some point in 2021-22. A person may have multiple episodes within a year and these would be counted separately assuming they did not form a continuous episode. The data provided is based on MHSDS submissions dating from January 2016. Therefore some continuous spells may have been longer than this as only spells that were still active since January 2016 would have flowed to MHSDS. </t>
  </si>
  <si>
    <t>tag_table1b_1</t>
  </si>
  <si>
    <t>tag_table1b_2</t>
  </si>
  <si>
    <t>tag_table1b_3</t>
  </si>
  <si>
    <t>tag_table1b_4</t>
  </si>
  <si>
    <t>tag_table1b_5</t>
  </si>
  <si>
    <t>tag_table1c_1</t>
  </si>
  <si>
    <t>tag_table1c_2</t>
  </si>
  <si>
    <t>tag_table1c_3</t>
  </si>
  <si>
    <t>tag_table1c_4</t>
  </si>
  <si>
    <t>tag_table1c_5</t>
  </si>
  <si>
    <t>tag_table1c_6</t>
  </si>
  <si>
    <t>tag_table1c_7</t>
  </si>
  <si>
    <t>tag_table1d_1</t>
  </si>
  <si>
    <t>tag_table1d_2</t>
  </si>
  <si>
    <t>tag_table1d_3</t>
  </si>
  <si>
    <t>tag_table1e_1</t>
  </si>
  <si>
    <t>tag_table1e_2</t>
  </si>
  <si>
    <t>tag_table1e_3</t>
  </si>
  <si>
    <t>tag_table1e_4</t>
  </si>
  <si>
    <t>tag_table1e_5</t>
  </si>
  <si>
    <t>tag_table1e_6</t>
  </si>
  <si>
    <t>tag_table1e_7</t>
  </si>
  <si>
    <t>tag_table1e_8</t>
  </si>
  <si>
    <t>tag_table1f_1</t>
  </si>
  <si>
    <t>tag_table1f_2</t>
  </si>
  <si>
    <t>tag_table1f_3</t>
  </si>
  <si>
    <t>tag_table1g_1</t>
  </si>
  <si>
    <t>tag_table1g_2</t>
  </si>
  <si>
    <t>tag_table1g_3</t>
  </si>
  <si>
    <t>tag_table1h_1</t>
  </si>
  <si>
    <t>tag_table1h_2</t>
  </si>
  <si>
    <t>tag_table1h_3</t>
  </si>
  <si>
    <t>tag_table1h_4</t>
  </si>
  <si>
    <t>tag_table1h_5</t>
  </si>
  <si>
    <t>tag_table1h_6</t>
  </si>
  <si>
    <t>tag_table1h_7</t>
  </si>
  <si>
    <t>tag_table1h_8</t>
  </si>
  <si>
    <t>tag_table1h_9</t>
  </si>
  <si>
    <t>tag_table1h_10</t>
  </si>
  <si>
    <t>tag_table2b_1</t>
  </si>
  <si>
    <t>tag_table2b_2</t>
  </si>
  <si>
    <t>tag_table2b_3</t>
  </si>
  <si>
    <t>tag_table2b_4</t>
  </si>
  <si>
    <t>tag_table2b_5</t>
  </si>
  <si>
    <t>tag_table2c_1</t>
  </si>
  <si>
    <t>tag_table2c_2</t>
  </si>
  <si>
    <t>tag_table2c_3</t>
  </si>
  <si>
    <t>tag_table2c_4</t>
  </si>
  <si>
    <t>tag_table2c_5</t>
  </si>
  <si>
    <t>tag_table2c_6</t>
  </si>
  <si>
    <t>tag_table3b_1</t>
  </si>
  <si>
    <t>tag_table3b_2</t>
  </si>
  <si>
    <t>tag_table3b_3</t>
  </si>
  <si>
    <t>tag_table3b_4</t>
  </si>
  <si>
    <t>tag_table3b_5</t>
  </si>
  <si>
    <t>tag_table3c_1</t>
  </si>
  <si>
    <t>tag_table3c_2</t>
  </si>
  <si>
    <t>tag_table3c_3</t>
  </si>
  <si>
    <t>tag_table3c_4</t>
  </si>
  <si>
    <t>tag_table3c_5</t>
  </si>
  <si>
    <t>tag_table3c_6</t>
  </si>
  <si>
    <t>tag_table5_1</t>
  </si>
  <si>
    <t>tag_table5_2</t>
  </si>
  <si>
    <t>tag_table5_3</t>
  </si>
  <si>
    <t>tag_table5_4</t>
  </si>
  <si>
    <t>tag_table5_5</t>
  </si>
  <si>
    <t>tag_table5_6</t>
  </si>
  <si>
    <t>tag_table5_7</t>
  </si>
  <si>
    <t>tag_table5_8</t>
  </si>
  <si>
    <t>tag_table5_9</t>
  </si>
  <si>
    <t>tag_table6_1</t>
  </si>
  <si>
    <t>tag_table6_2</t>
  </si>
  <si>
    <t>tag_table6_3</t>
  </si>
  <si>
    <t>tag_table6_4</t>
  </si>
  <si>
    <t>tag_table6_5</t>
  </si>
  <si>
    <t>tag_table6_6</t>
  </si>
  <si>
    <t>tag_table6_7</t>
  </si>
  <si>
    <t>tag_table6_8</t>
  </si>
  <si>
    <t>tag_table6_9</t>
  </si>
  <si>
    <t>tag_table7a_1</t>
  </si>
  <si>
    <t>tag_table7a_2</t>
  </si>
  <si>
    <t>tag_table7a_3</t>
  </si>
  <si>
    <t>tag_table7a_4</t>
  </si>
  <si>
    <t>tag_table7b_1</t>
  </si>
  <si>
    <t>tag_table7b_2</t>
  </si>
  <si>
    <t>tag_table7b_3</t>
  </si>
  <si>
    <t>tag_table7b_4</t>
  </si>
  <si>
    <t>tag_table7b_5</t>
  </si>
  <si>
    <t>tag_table7b_6</t>
  </si>
  <si>
    <t>tag_table7b_7</t>
  </si>
  <si>
    <t>tag_table8c_1</t>
  </si>
  <si>
    <t>Non-Binary - based on Gender identity field</t>
  </si>
  <si>
    <t>Other (not listed) - based on Gender identity field</t>
  </si>
  <si>
    <t>Indeterminate - based on Person stated gender field</t>
  </si>
  <si>
    <t>This table shows the numbers detention by Ethncity and IMD, for 2021-22.
Percentages are based on the row totals to allow broad comparisons between ethnic groups.
Detentions data are incomplete in 2021-22 so the counts and rates shown are lower than the true figures.</t>
  </si>
  <si>
    <t>tag_table7a_5</t>
  </si>
  <si>
    <t xml:space="preserve">      Indeterminate - based on Person stated gender field</t>
  </si>
  <si>
    <t>tag_table2c_7</t>
  </si>
  <si>
    <t>tag_table3c_7</t>
  </si>
  <si>
    <t xml:space="preserve">    White</t>
  </si>
  <si>
    <t xml:space="preserve">    White British</t>
  </si>
  <si>
    <t xml:space="preserve">    White Irish</t>
  </si>
  <si>
    <t xml:space="preserve">    Any Other White Background</t>
  </si>
  <si>
    <t xml:space="preserve">    Gypsy or Irish Traveller</t>
  </si>
  <si>
    <t xml:space="preserve">    Mixed</t>
  </si>
  <si>
    <t xml:space="preserve">    White and Black Caribbean</t>
  </si>
  <si>
    <t xml:space="preserve">    White and Black African</t>
  </si>
  <si>
    <t xml:space="preserve">    White and Asian</t>
  </si>
  <si>
    <t xml:space="preserve">    Any Other Mixed Background</t>
  </si>
  <si>
    <t xml:space="preserve">    Asian or Asian British</t>
  </si>
  <si>
    <t xml:space="preserve">    Indian</t>
  </si>
  <si>
    <t xml:space="preserve">    Pakistani</t>
  </si>
  <si>
    <t xml:space="preserve">    Bangladeshi</t>
  </si>
  <si>
    <t xml:space="preserve">    Any Other Asian Background</t>
  </si>
  <si>
    <t xml:space="preserve">    Black or Black British</t>
  </si>
  <si>
    <t xml:space="preserve">    African</t>
  </si>
  <si>
    <t xml:space="preserve">    Caribbean</t>
  </si>
  <si>
    <t xml:space="preserve">    Any Other Black Background</t>
  </si>
  <si>
    <t xml:space="preserve">    Other Ethnic Groups</t>
  </si>
  <si>
    <t xml:space="preserve">    Chinese</t>
  </si>
  <si>
    <t xml:space="preserve">    Any Other Ethnic Group</t>
  </si>
  <si>
    <t xml:space="preserve">    Arab</t>
  </si>
  <si>
    <t xml:space="preserve">    </t>
  </si>
  <si>
    <t>Non-binary</t>
  </si>
  <si>
    <t>Other (not listed)</t>
  </si>
  <si>
    <t>Indeterminate</t>
  </si>
  <si>
    <t>MHA and CTO episodes (%)</t>
  </si>
  <si>
    <t>MHA episodes 
only</t>
  </si>
  <si>
    <t>MHA episodes 
only (%)</t>
  </si>
  <si>
    <t>tag_table8b_11</t>
  </si>
  <si>
    <t>Table 1i</t>
  </si>
  <si>
    <t>STP</t>
  </si>
  <si>
    <t>This table shows the numbers and rates of detention by STP area, for 2021-22.
Detentions data are incomplete in 2021-22 so the counts and rates shown are lower than the true figures. 
Missing data for particular providers means that comparisons between STP areas must be made with caution, as areas with low completion rates will record low rates of detention which are not representative of the true picture. For further details of shortfalls in coverage, please refer to the Background Data Quality Report.
Demographic breakdowns use the last set of person characteristics (e.g. age, gender or ethnicity) recorded in the year. This is to prevent instances where one person may have been recorded with different characteristics in different submissions. By taking the latest available demographics this ensures each person is consistently assigned with one age, gender and ethnic group. Caution should therefore be used when interpreting small numbers due to possible data quality issues.
Population figures are based on ONS mid-2019 population estimates for 2020 CCG mapped to STP.</t>
  </si>
  <si>
    <t>Age Group</t>
  </si>
  <si>
    <t>Percentage of people detained more than once (%)</t>
  </si>
  <si>
    <t>Unknown/Not Recorded</t>
  </si>
  <si>
    <t>Unknown/ Not Recorded</t>
  </si>
  <si>
    <t>ATM01</t>
  </si>
  <si>
    <t>NEWBRIDGE CARE SYSTEMS</t>
  </si>
  <si>
    <t>ATM02</t>
  </si>
  <si>
    <t>SCHOEN CLINIC YORK</t>
  </si>
  <si>
    <t>R0A</t>
  </si>
  <si>
    <t>MANCHESTER UNIVERSITY NHS FOUNDATION TRUST</t>
  </si>
  <si>
    <t>GLOUCESTERSHIRE HEALTH AND CARE NHS FOUNDATION TRUST</t>
  </si>
  <si>
    <t>01 Least deprived
(%)</t>
  </si>
  <si>
    <t>02 Less deprived
(%)</t>
  </si>
  <si>
    <t>03 Less deprived
(%)</t>
  </si>
  <si>
    <t>04 Less deprived
(%)</t>
  </si>
  <si>
    <t>05 Less deprived
(%)</t>
  </si>
  <si>
    <t>06 More deprived
(%)</t>
  </si>
  <si>
    <t>07 More deprived
(%)</t>
  </si>
  <si>
    <t>08 More deprived
(%)</t>
  </si>
  <si>
    <t>09 More deprived
(%)</t>
  </si>
  <si>
    <t>10 Most deprived
(%)</t>
  </si>
  <si>
    <t>Not stated/Not known/Invalid
(%)</t>
  </si>
  <si>
    <t>tag_table1i_1</t>
  </si>
  <si>
    <t>tag_table1i_3</t>
  </si>
  <si>
    <t>Detentions under the Mental Health Act 1983, by Sustainability and Transformation Partnership (STP) area by age group and gender, 2021-22</t>
  </si>
  <si>
    <t>Table 1j</t>
  </si>
  <si>
    <t>Detentions under the Mental Health Act 1983, by Sustainability and Transformation Partnership (STP) area by ethnicity and deprivation decile, 2021-22</t>
  </si>
  <si>
    <t>IMD Decile</t>
  </si>
  <si>
    <t>Base Population2</t>
  </si>
  <si>
    <t>Footnotes
1) The total for 'All' is calculated from both the MHSDS and ECDS collections. It includes detentions where the STP could not be derived. Further breakdowns are from MHSDS only since the ECDS collection does not allow for further breakdowns and therefore STP could not be derived from this data.
2) ONS mid-2019 population estimates for 2020 CCG have been mapped to STP</t>
  </si>
  <si>
    <t>tag_table1j_1</t>
  </si>
  <si>
    <t>tag_table1j_2</t>
  </si>
  <si>
    <t>tag_table1j_3</t>
  </si>
  <si>
    <t>Count</t>
  </si>
  <si>
    <t>Crude Rate per 100,000 population</t>
  </si>
  <si>
    <t>tag_table1e_9</t>
  </si>
  <si>
    <t>tag_table1e_10</t>
  </si>
  <si>
    <t>tag_table1e_12</t>
  </si>
  <si>
    <t>tag_table1e_14</t>
  </si>
  <si>
    <t>tag_table1e_11</t>
  </si>
  <si>
    <t>tag_table1e_13</t>
  </si>
  <si>
    <t>tag_table1e_15</t>
  </si>
  <si>
    <t>tag_table1e_16</t>
  </si>
  <si>
    <t>Counts and rates of Detention under the Mental Health Act 1983, cross-tabulated by age group, ethnicity and gender, 2021-22</t>
  </si>
  <si>
    <t>tag_table1i_2</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</si>
</sst>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 #,##0.00_-;_-* &quot;-&quot;??_-;_-@_-"/>
    <numFmt numFmtId="164" formatCode="[$-10409]#,##0;\-#,##0"/>
    <numFmt numFmtId="165" formatCode="_-* #,##0_-;\-* #,##0_-;_-* &quot;-&quot;??_-;_-@_-"/>
    <numFmt numFmtId="166" formatCode="0.0%"/>
    <numFmt numFmtId="167" formatCode="0.0"/>
    <numFmt numFmtId="168" formatCode="0.00000000"/>
    <numFmt numFmtId="169" formatCode="#,##0.0"/>
    <numFmt numFmtId="170" formatCode="_-* #,##0.0_-;\-* #,##0.0_-;_-* &quot;-&quot;??_-;_-@_-"/>
    <numFmt numFmtId="171" formatCode="_-* #,##0.000_-;\-* #,##0.000_-;_-* &quot;-&quot;??_-;_-@_-"/>
    <numFmt numFmtId="172" formatCode="#,##0.00000"/>
  </numFmts>
  <fonts count="115" x14ac:knownFonts="1">
    <font>
      <sz val="11"/>
      <color theme="1"/>
      <name val="Arial"/>
      <family val="2"/>
      <scheme val="minor"/>
    </font>
    <font>
      <sz val="11"/>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name val="Arial"/>
      <family val="2"/>
    </font>
    <font>
      <b/>
      <sz val="10"/>
      <name val="Arial"/>
      <family val="2"/>
    </font>
    <font>
      <b/>
      <sz val="11"/>
      <color indexed="8"/>
      <name val="Arial"/>
      <family val="2"/>
    </font>
    <font>
      <i/>
      <sz val="10"/>
      <name val="Arial"/>
      <family val="2"/>
    </font>
    <font>
      <sz val="10"/>
      <color indexed="8"/>
      <name val="Arial"/>
      <family val="2"/>
    </font>
    <font>
      <b/>
      <sz val="10"/>
      <color indexed="8"/>
      <name val="Arial"/>
      <family val="2"/>
    </font>
    <font>
      <sz val="10"/>
      <color theme="1"/>
      <name val="Arial"/>
      <family val="2"/>
    </font>
    <font>
      <sz val="11"/>
      <name val="Arial"/>
      <family val="2"/>
    </font>
    <font>
      <u/>
      <sz val="10"/>
      <color theme="10"/>
      <name val="Arial"/>
      <family val="2"/>
    </font>
    <font>
      <sz val="10"/>
      <name val="Times New Roman"/>
      <family val="1"/>
    </font>
    <font>
      <u/>
      <sz val="10"/>
      <color indexed="12"/>
      <name val="Times New Roman"/>
      <family val="1"/>
    </font>
    <font>
      <sz val="9"/>
      <name val="Arial"/>
      <family val="2"/>
    </font>
    <font>
      <b/>
      <sz val="10"/>
      <color theme="1"/>
      <name val="Arial"/>
      <family val="2"/>
    </font>
    <font>
      <b/>
      <sz val="18"/>
      <color theme="3"/>
      <name val="Arial"/>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sz val="10"/>
      <name val="Arial"/>
      <family val="2"/>
    </font>
    <font>
      <sz val="11"/>
      <color indexed="8"/>
      <name val="Arial"/>
      <family val="2"/>
      <scheme val="minor"/>
    </font>
    <font>
      <u/>
      <sz val="12"/>
      <color rgb="FF004488"/>
      <name val="Arial"/>
      <family val="2"/>
    </font>
    <font>
      <b/>
      <i/>
      <sz val="10"/>
      <color indexed="8"/>
      <name val="Arial"/>
      <family val="2"/>
    </font>
    <font>
      <b/>
      <i/>
      <sz val="10"/>
      <name val="Arial"/>
      <family val="2"/>
    </font>
    <font>
      <sz val="11"/>
      <color indexed="8"/>
      <name val="Arial"/>
      <family val="2"/>
    </font>
    <font>
      <sz val="10"/>
      <color rgb="FFFF0000"/>
      <name val="Arial"/>
      <family val="2"/>
    </font>
    <font>
      <b/>
      <sz val="10"/>
      <color rgb="FFFF0000"/>
      <name val="Arial"/>
      <family val="2"/>
    </font>
    <font>
      <sz val="10"/>
      <name val="MS Sans Serif"/>
      <family val="2"/>
    </font>
    <font>
      <u/>
      <sz val="10"/>
      <color indexed="12"/>
      <name val="Arial"/>
      <family val="2"/>
    </font>
    <font>
      <u/>
      <sz val="11"/>
      <color theme="10"/>
      <name val="Arial"/>
      <family val="2"/>
      <scheme val="minor"/>
    </font>
    <font>
      <b/>
      <vertAlign val="superscript"/>
      <sz val="10"/>
      <name val="Arial"/>
      <family val="2"/>
    </font>
    <font>
      <b/>
      <vertAlign val="superscript"/>
      <sz val="10"/>
      <color indexed="8"/>
      <name val="Arial"/>
      <family val="2"/>
    </font>
    <font>
      <sz val="10"/>
      <name val="Arial"/>
      <family val="2"/>
    </font>
    <font>
      <b/>
      <sz val="10"/>
      <name val="Arial"/>
      <family val="2"/>
      <scheme val="minor"/>
    </font>
    <font>
      <sz val="10"/>
      <name val="Arial"/>
      <family val="2"/>
      <scheme val="minor"/>
    </font>
    <font>
      <b/>
      <sz val="11"/>
      <color theme="1"/>
      <name val="Arial"/>
      <family val="2"/>
      <scheme val="minor"/>
    </font>
    <font>
      <b/>
      <i/>
      <vertAlign val="superscript"/>
      <sz val="10"/>
      <name val="Arial"/>
      <family val="2"/>
    </font>
    <font>
      <sz val="11"/>
      <name val="Arial"/>
      <family val="2"/>
      <scheme val="minor"/>
    </font>
    <font>
      <b/>
      <sz val="11"/>
      <name val="Arial"/>
      <family val="2"/>
    </font>
    <font>
      <sz val="10"/>
      <name val="Arial"/>
      <family val="2"/>
    </font>
    <font>
      <sz val="10"/>
      <color theme="1"/>
      <name val="Arial"/>
      <family val="2"/>
      <scheme val="minor"/>
    </font>
    <font>
      <sz val="11"/>
      <color theme="1"/>
      <name val="Arial"/>
      <family val="2"/>
    </font>
    <font>
      <b/>
      <sz val="22"/>
      <color theme="4"/>
      <name val="Arial"/>
      <family val="2"/>
      <scheme val="minor"/>
    </font>
    <font>
      <sz val="22"/>
      <color rgb="FF003360"/>
      <name val="Arial"/>
      <family val="2"/>
      <scheme val="minor"/>
    </font>
    <font>
      <sz val="22"/>
      <color theme="1"/>
      <name val="Arial"/>
      <family val="2"/>
      <scheme val="minor"/>
    </font>
    <font>
      <b/>
      <sz val="14"/>
      <color theme="9"/>
      <name val="Arial"/>
      <family val="2"/>
    </font>
    <font>
      <u/>
      <sz val="11"/>
      <color theme="10"/>
      <name val="Arial"/>
      <family val="2"/>
    </font>
    <font>
      <u/>
      <sz val="10"/>
      <name val="Arial"/>
      <family val="2"/>
    </font>
    <font>
      <sz val="10"/>
      <color indexed="8"/>
      <name val="Arial"/>
      <family val="2"/>
      <scheme val="minor"/>
    </font>
    <font>
      <sz val="10"/>
      <name val="Times New Roman"/>
      <family val="1"/>
    </font>
    <font>
      <u/>
      <sz val="11"/>
      <color rgb="FF004488"/>
      <name val="Arial"/>
      <family val="2"/>
    </font>
    <font>
      <b/>
      <vertAlign val="superscript"/>
      <sz val="10"/>
      <color rgb="FF000000"/>
      <name val="Arial"/>
      <family val="2"/>
    </font>
    <font>
      <vertAlign val="superscript"/>
      <sz val="10"/>
      <color rgb="FF000000"/>
      <name val="Arial"/>
      <family val="2"/>
    </font>
    <font>
      <sz val="10"/>
      <color rgb="FF000000"/>
      <name val="Arial"/>
      <family val="2"/>
    </font>
    <font>
      <i/>
      <sz val="11"/>
      <name val="Arial"/>
      <family val="2"/>
    </font>
    <font>
      <b/>
      <vertAlign val="superscript"/>
      <sz val="10"/>
      <color theme="1"/>
      <name val="Arial"/>
      <family val="2"/>
    </font>
    <font>
      <u/>
      <sz val="10"/>
      <color indexed="12"/>
      <name val="MS Sans Serif"/>
      <family val="2"/>
    </font>
    <font>
      <sz val="8"/>
      <color theme="1"/>
      <name val="Arial"/>
      <family val="2"/>
    </font>
    <font>
      <b/>
      <sz val="11"/>
      <name val="Arial"/>
      <family val="2"/>
      <scheme val="minor"/>
    </font>
    <font>
      <sz val="8"/>
      <name val="Arial"/>
      <family val="2"/>
      <scheme val="minor"/>
    </font>
    <font>
      <sz val="10"/>
      <name val="Arial"/>
      <family val="2"/>
    </font>
    <font>
      <u/>
      <sz val="11"/>
      <color theme="10"/>
      <name val="Calibri"/>
      <family val="2"/>
    </font>
    <font>
      <sz val="10"/>
      <name val="Arial"/>
      <family val="2"/>
    </font>
    <font>
      <b/>
      <i/>
      <vertAlign val="superscript"/>
      <sz val="10"/>
      <color rgb="FF000000"/>
      <name val="Arial"/>
      <family val="2"/>
    </font>
    <font>
      <sz val="9"/>
      <color rgb="FFFF0000"/>
      <name val="Arial"/>
      <family val="2"/>
    </font>
    <font>
      <b/>
      <sz val="10"/>
      <color theme="1"/>
      <name val="Arial"/>
      <family val="2"/>
      <scheme val="minor"/>
    </font>
    <font>
      <i/>
      <sz val="11"/>
      <color theme="1"/>
      <name val="Arial"/>
      <family val="2"/>
    </font>
    <font>
      <b/>
      <sz val="11"/>
      <color theme="1"/>
      <name val="Arial"/>
      <family val="2"/>
    </font>
    <font>
      <sz val="11"/>
      <color theme="1"/>
      <name val="Arial"/>
      <family val="2"/>
    </font>
    <font>
      <b/>
      <sz val="10"/>
      <color indexed="8"/>
      <name val="Arial"/>
      <family val="2"/>
    </font>
    <font>
      <sz val="10"/>
      <name val="Arial"/>
      <family val="2"/>
    </font>
    <font>
      <sz val="10"/>
      <color indexed="8"/>
      <name val="Arial"/>
      <family val="2"/>
    </font>
    <font>
      <b/>
      <sz val="10"/>
      <color rgb="FFFF0000"/>
      <name val="Arial"/>
      <family val="2"/>
    </font>
    <font>
      <sz val="18"/>
      <color theme="3"/>
      <name val="Arial"/>
      <family val="2"/>
      <scheme val="major"/>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0"/>
      <color theme="0"/>
      <name val="Arial"/>
      <family val="2"/>
    </font>
    <font>
      <b/>
      <sz val="10"/>
      <color indexed="8"/>
      <name val="Arial"/>
      <family val="2"/>
      <scheme val="minor"/>
    </font>
  </fonts>
  <fills count="37">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0"/>
        <bgColor theme="4" tint="0.79998168889431442"/>
      </patternFill>
    </fill>
    <fill>
      <patternFill patternType="solid">
        <fgColor rgb="FFFFFFFF"/>
        <bgColor indexed="64"/>
      </patternFill>
    </fill>
  </fills>
  <borders count="65">
    <border>
      <left/>
      <right/>
      <top/>
      <bottom/>
      <diagonal/>
    </border>
    <border>
      <left/>
      <right/>
      <top style="thin">
        <color indexed="8"/>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8"/>
      </left>
      <right style="thin">
        <color theme="8"/>
      </right>
      <top style="thin">
        <color theme="8"/>
      </top>
      <bottom style="thin">
        <color theme="8"/>
      </bottom>
      <diagonal/>
    </border>
    <border>
      <left style="mediumDashDotDot">
        <color indexed="8"/>
      </left>
      <right/>
      <top/>
      <bottom/>
      <diagonal/>
    </border>
    <border>
      <left style="mediumDashDot">
        <color indexed="8"/>
      </left>
      <right/>
      <top style="thin">
        <color indexed="8"/>
      </top>
      <bottom style="thin">
        <color indexed="64"/>
      </bottom>
      <diagonal/>
    </border>
    <border>
      <left style="mediumDashDot">
        <color indexed="8"/>
      </left>
      <right/>
      <top/>
      <bottom/>
      <diagonal/>
    </border>
    <border>
      <left style="mediumDashDot">
        <color auto="1"/>
      </left>
      <right/>
      <top/>
      <bottom/>
      <diagonal/>
    </border>
    <border>
      <left/>
      <right/>
      <top style="thin">
        <color indexed="64"/>
      </top>
      <bottom style="thin">
        <color indexed="64"/>
      </bottom>
      <diagonal/>
    </border>
    <border>
      <left style="thin">
        <color theme="8"/>
      </left>
      <right/>
      <top style="thin">
        <color theme="8"/>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
      <left/>
      <right/>
      <top/>
      <bottom style="medium">
        <color indexed="64"/>
      </bottom>
      <diagonal/>
    </border>
    <border>
      <left style="mediumDashDot">
        <color indexed="8"/>
      </left>
      <right/>
      <top/>
      <bottom style="medium">
        <color indexed="64"/>
      </bottom>
      <diagonal/>
    </border>
    <border>
      <left/>
      <right/>
      <top style="thin">
        <color indexed="64"/>
      </top>
      <bottom style="medium">
        <color indexed="64"/>
      </bottom>
      <diagonal/>
    </border>
    <border>
      <left/>
      <right/>
      <top style="medium">
        <color indexed="64"/>
      </top>
      <bottom style="medium">
        <color indexed="64"/>
      </bottom>
      <diagonal/>
    </border>
    <border>
      <left style="mediumDashDot">
        <color indexed="8"/>
      </left>
      <right/>
      <top style="thin">
        <color indexed="64"/>
      </top>
      <bottom style="thin">
        <color indexed="64"/>
      </bottom>
      <diagonal/>
    </border>
    <border>
      <left style="mediumDashDotDot">
        <color indexed="64"/>
      </left>
      <right/>
      <top style="medium">
        <color indexed="64"/>
      </top>
      <bottom style="thin">
        <color indexed="64"/>
      </bottom>
      <diagonal/>
    </border>
    <border>
      <left style="mediumDashDotDot">
        <color indexed="64"/>
      </left>
      <right/>
      <top/>
      <bottom/>
      <diagonal/>
    </border>
    <border>
      <left style="mediumDashDotDot">
        <color indexed="64"/>
      </left>
      <right/>
      <top/>
      <bottom style="medium">
        <color indexed="64"/>
      </bottom>
      <diagonal/>
    </border>
    <border>
      <left/>
      <right/>
      <top style="medium">
        <color indexed="64"/>
      </top>
      <bottom style="thin">
        <color indexed="64"/>
      </bottom>
      <diagonal/>
    </border>
    <border>
      <left style="mediumDashDot">
        <color indexed="64"/>
      </left>
      <right/>
      <top style="thin">
        <color indexed="64"/>
      </top>
      <bottom style="medium">
        <color indexed="64"/>
      </bottom>
      <diagonal/>
    </border>
    <border>
      <left style="mediumDashDot">
        <color indexed="64"/>
      </left>
      <right/>
      <top/>
      <bottom/>
      <diagonal/>
    </border>
    <border>
      <left style="mediumDashDot">
        <color indexed="64"/>
      </left>
      <right/>
      <top/>
      <bottom style="medium">
        <color indexed="64"/>
      </bottom>
      <diagonal/>
    </border>
    <border>
      <left/>
      <right/>
      <top style="medium">
        <color indexed="64"/>
      </top>
      <bottom style="thin">
        <color indexed="8"/>
      </bottom>
      <diagonal/>
    </border>
    <border>
      <left/>
      <right/>
      <top/>
      <bottom style="thin">
        <color auto="1"/>
      </bottom>
      <diagonal/>
    </border>
    <border>
      <left/>
      <right/>
      <top style="medium">
        <color indexed="64"/>
      </top>
      <bottom style="thin">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top style="medium">
        <color indexed="64"/>
      </top>
      <bottom/>
      <diagonal/>
    </border>
    <border>
      <left style="thin">
        <color rgb="FF969696"/>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top style="thin">
        <color rgb="FF969696"/>
      </top>
      <bottom style="thin">
        <color rgb="FF969696"/>
      </bottom>
      <diagonal/>
    </border>
    <border>
      <left/>
      <right style="thin">
        <color rgb="FF969696"/>
      </right>
      <top style="thin">
        <color rgb="FF969696"/>
      </top>
      <bottom style="thin">
        <color rgb="FF969696"/>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auto="1"/>
      </left>
      <right/>
      <top/>
      <bottom/>
      <diagonal/>
    </border>
    <border>
      <left/>
      <right/>
      <top style="thin">
        <color auto="1"/>
      </top>
      <bottom style="thin">
        <color auto="1"/>
      </bottom>
      <diagonal/>
    </border>
    <border>
      <left style="thin">
        <color theme="0"/>
      </left>
      <right/>
      <top/>
      <bottom/>
      <diagonal/>
    </border>
    <border>
      <left/>
      <right/>
      <top style="thin">
        <color theme="0"/>
      </top>
      <bottom style="thin">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right style="thin">
        <color indexed="64"/>
      </right>
      <top style="medium">
        <color indexed="64"/>
      </top>
      <bottom style="thin">
        <color auto="1"/>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auto="1"/>
      </bottom>
      <diagonal/>
    </border>
  </borders>
  <cellStyleXfs count="368">
    <xf numFmtId="0" fontId="0" fillId="0" borderId="0"/>
    <xf numFmtId="43" fontId="16" fillId="0" borderId="0" applyFont="0" applyFill="0" applyBorder="0" applyAlignment="0" applyProtection="0"/>
    <xf numFmtId="43" fontId="15" fillId="0" borderId="0" applyFont="0" applyFill="0" applyBorder="0" applyAlignment="0" applyProtection="0"/>
    <xf numFmtId="0" fontId="25" fillId="0" borderId="0" applyNumberFormat="0" applyFill="0" applyBorder="0" applyAlignment="0" applyProtection="0"/>
    <xf numFmtId="0" fontId="26" fillId="0" borderId="0"/>
    <xf numFmtId="0" fontId="17" fillId="0" borderId="0">
      <alignment wrapText="1"/>
    </xf>
    <xf numFmtId="0" fontId="27" fillId="0" borderId="0" applyNumberFormat="0" applyFill="0" applyBorder="0" applyAlignment="0" applyProtection="0">
      <alignment vertical="top"/>
      <protection locked="0"/>
    </xf>
    <xf numFmtId="0" fontId="17" fillId="0" borderId="0">
      <alignment vertical="center"/>
    </xf>
    <xf numFmtId="9" fontId="16" fillId="0" borderId="0" applyFont="0" applyFill="0" applyBorder="0" applyAlignment="0" applyProtection="0"/>
    <xf numFmtId="0" fontId="17" fillId="0" borderId="0"/>
    <xf numFmtId="0" fontId="14" fillId="0" borderId="0"/>
    <xf numFmtId="0" fontId="13" fillId="0" borderId="0"/>
    <xf numFmtId="43" fontId="13" fillId="0" borderId="0" applyFont="0" applyFill="0" applyBorder="0" applyAlignment="0" applyProtection="0"/>
    <xf numFmtId="0" fontId="30" fillId="0" borderId="0" applyNumberFormat="0" applyFill="0" applyBorder="0" applyAlignment="0" applyProtection="0"/>
    <xf numFmtId="0" fontId="31" fillId="0" borderId="2" applyNumberFormat="0" applyFill="0" applyAlignment="0" applyProtection="0"/>
    <xf numFmtId="0" fontId="32" fillId="0" borderId="3" applyNumberFormat="0" applyFill="0" applyAlignment="0" applyProtection="0"/>
    <xf numFmtId="0" fontId="33" fillId="0" borderId="4" applyNumberFormat="0" applyFill="0" applyAlignment="0" applyProtection="0"/>
    <xf numFmtId="0" fontId="33" fillId="0" borderId="0" applyNumberFormat="0" applyFill="0" applyBorder="0" applyAlignment="0" applyProtection="0"/>
    <xf numFmtId="0" fontId="34" fillId="3" borderId="0" applyNumberFormat="0" applyBorder="0" applyAlignment="0" applyProtection="0"/>
    <xf numFmtId="0" fontId="35" fillId="4" borderId="0" applyNumberFormat="0" applyBorder="0" applyAlignment="0" applyProtection="0"/>
    <xf numFmtId="0" fontId="36" fillId="5" borderId="0" applyNumberFormat="0" applyBorder="0" applyAlignment="0" applyProtection="0"/>
    <xf numFmtId="0" fontId="37" fillId="6" borderId="5" applyNumberFormat="0" applyAlignment="0" applyProtection="0"/>
    <xf numFmtId="0" fontId="38" fillId="7" borderId="6" applyNumberFormat="0" applyAlignment="0" applyProtection="0"/>
    <xf numFmtId="0" fontId="39" fillId="7" borderId="5" applyNumberFormat="0" applyAlignment="0" applyProtection="0"/>
    <xf numFmtId="0" fontId="40" fillId="0" borderId="7" applyNumberFormat="0" applyFill="0" applyAlignment="0" applyProtection="0"/>
    <xf numFmtId="0" fontId="41" fillId="8" borderId="8" applyNumberFormat="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10" applyNumberFormat="0" applyFill="0" applyAlignment="0" applyProtection="0"/>
    <xf numFmtId="0" fontId="45"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45" fillId="21" borderId="0" applyNumberFormat="0" applyBorder="0" applyAlignment="0" applyProtection="0"/>
    <xf numFmtId="0" fontId="45"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45" fillId="25" borderId="0" applyNumberFormat="0" applyBorder="0" applyAlignment="0" applyProtection="0"/>
    <xf numFmtId="0" fontId="45"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45" fillId="33" borderId="0" applyNumberFormat="0" applyBorder="0" applyAlignment="0" applyProtection="0"/>
    <xf numFmtId="0" fontId="12" fillId="0" borderId="0"/>
    <xf numFmtId="0" fontId="12" fillId="9" borderId="9" applyNumberFormat="0" applyFont="0" applyAlignment="0" applyProtection="0"/>
    <xf numFmtId="0" fontId="16" fillId="0" borderId="0"/>
    <xf numFmtId="43" fontId="16" fillId="0" borderId="0" applyFont="0" applyFill="0" applyBorder="0" applyAlignment="0" applyProtection="0"/>
    <xf numFmtId="43" fontId="12" fillId="0" borderId="0" applyFont="0" applyFill="0" applyBorder="0" applyAlignment="0" applyProtection="0"/>
    <xf numFmtId="9" fontId="16" fillId="0" borderId="0" applyFont="0" applyFill="0" applyBorder="0" applyAlignment="0" applyProtection="0"/>
    <xf numFmtId="0" fontId="46" fillId="0" borderId="0"/>
    <xf numFmtId="0" fontId="48" fillId="0" borderId="0" applyNumberFormat="0" applyFill="0" applyBorder="0" applyAlignment="0" applyProtection="0"/>
    <xf numFmtId="0" fontId="11"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47" fillId="0" borderId="0"/>
    <xf numFmtId="0" fontId="9" fillId="0" borderId="0"/>
    <xf numFmtId="0" fontId="54" fillId="0" borderId="0"/>
    <xf numFmtId="0" fontId="17" fillId="0" borderId="0"/>
    <xf numFmtId="0" fontId="17" fillId="0" borderId="0"/>
    <xf numFmtId="0" fontId="54" fillId="0" borderId="0"/>
    <xf numFmtId="43" fontId="16" fillId="0" borderId="0" applyFont="0" applyFill="0" applyBorder="0" applyAlignment="0" applyProtection="0"/>
    <xf numFmtId="43" fontId="9" fillId="0" borderId="0" applyFont="0" applyFill="0" applyBorder="0" applyAlignment="0" applyProtection="0"/>
    <xf numFmtId="0" fontId="9" fillId="0" borderId="0"/>
    <xf numFmtId="0" fontId="17" fillId="0" borderId="0"/>
    <xf numFmtId="0" fontId="16" fillId="0" borderId="0"/>
    <xf numFmtId="43" fontId="9" fillId="0" borderId="0" applyFont="0" applyFill="0" applyBorder="0" applyAlignment="0" applyProtection="0"/>
    <xf numFmtId="9" fontId="9"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wrapText="1"/>
    </xf>
    <xf numFmtId="0" fontId="55" fillId="0" borderId="0" applyNumberFormat="0" applyFill="0" applyBorder="0" applyAlignment="0" applyProtection="0">
      <alignment vertical="top"/>
      <protection locked="0"/>
    </xf>
    <xf numFmtId="0" fontId="17" fillId="0" borderId="0">
      <alignment wrapText="1"/>
    </xf>
    <xf numFmtId="0" fontId="17" fillId="0" borderId="0">
      <alignment wrapText="1"/>
    </xf>
    <xf numFmtId="9" fontId="17" fillId="0" borderId="0" applyFont="0" applyFill="0" applyBorder="0" applyAlignment="0" applyProtection="0"/>
    <xf numFmtId="43" fontId="16" fillId="0" borderId="0" applyFont="0" applyFill="0" applyBorder="0" applyAlignment="0" applyProtection="0"/>
    <xf numFmtId="0" fontId="16" fillId="0" borderId="0"/>
    <xf numFmtId="0" fontId="56" fillId="0" borderId="0" applyNumberForma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16" fillId="0" borderId="0"/>
    <xf numFmtId="0" fontId="8" fillId="0" borderId="0"/>
    <xf numFmtId="0" fontId="7" fillId="0" borderId="0"/>
    <xf numFmtId="0" fontId="83" fillId="0" borderId="0" applyNumberFormat="0" applyFill="0" applyBorder="0" applyAlignment="0" applyProtection="0"/>
    <xf numFmtId="0" fontId="6" fillId="0" borderId="0"/>
    <xf numFmtId="0" fontId="88"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17" fillId="0" borderId="0"/>
    <xf numFmtId="0" fontId="5" fillId="0" borderId="0"/>
    <xf numFmtId="0" fontId="4" fillId="0" borderId="0"/>
    <xf numFmtId="43" fontId="4" fillId="0" borderId="0" applyFont="0" applyFill="0" applyBorder="0" applyAlignment="0" applyProtection="0"/>
    <xf numFmtId="0" fontId="83" fillId="0" borderId="0" applyNumberFormat="0" applyFill="0" applyBorder="0" applyAlignment="0" applyProtection="0"/>
    <xf numFmtId="43" fontId="16" fillId="0" borderId="0" applyFont="0" applyFill="0" applyBorder="0" applyAlignment="0" applyProtection="0"/>
    <xf numFmtId="43" fontId="8" fillId="0" borderId="0" applyFont="0" applyFill="0" applyBorder="0" applyAlignment="0" applyProtection="0"/>
    <xf numFmtId="0" fontId="8" fillId="0" borderId="0"/>
    <xf numFmtId="43" fontId="8" fillId="0" borderId="0" applyFont="0" applyFill="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9" borderId="9" applyNumberFormat="0" applyFont="0" applyAlignment="0" applyProtection="0"/>
    <xf numFmtId="43" fontId="16" fillId="0" borderId="0" applyFont="0" applyFill="0" applyBorder="0" applyAlignment="0" applyProtection="0"/>
    <xf numFmtId="43" fontId="8" fillId="0" borderId="0" applyFont="0" applyFill="0" applyBorder="0" applyAlignment="0" applyProtection="0"/>
    <xf numFmtId="0" fontId="17" fillId="0" borderId="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3" fontId="16" fillId="0" borderId="0" applyFont="0" applyFill="0" applyBorder="0" applyAlignment="0" applyProtection="0"/>
    <xf numFmtId="43"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43" fontId="1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3" fillId="0" borderId="0"/>
    <xf numFmtId="0" fontId="3" fillId="0" borderId="0"/>
    <xf numFmtId="0" fontId="3" fillId="0" borderId="0"/>
    <xf numFmtId="0" fontId="3" fillId="0" borderId="0"/>
    <xf numFmtId="43" fontId="3" fillId="0" borderId="0" applyFont="0" applyFill="0" applyBorder="0" applyAlignment="0" applyProtection="0"/>
    <xf numFmtId="43" fontId="1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100" fillId="0" borderId="0" applyNumberFormat="0" applyFill="0" applyBorder="0" applyAlignment="0" applyProtection="0"/>
    <xf numFmtId="0" fontId="101" fillId="3" borderId="0" applyNumberFormat="0" applyBorder="0" applyAlignment="0" applyProtection="0"/>
    <xf numFmtId="0" fontId="102" fillId="4" borderId="0" applyNumberFormat="0" applyBorder="0" applyAlignment="0" applyProtection="0"/>
    <xf numFmtId="0" fontId="103" fillId="5" borderId="0" applyNumberFormat="0" applyBorder="0" applyAlignment="0" applyProtection="0"/>
    <xf numFmtId="0" fontId="104" fillId="6" borderId="5" applyNumberFormat="0" applyAlignment="0" applyProtection="0"/>
    <xf numFmtId="0" fontId="105" fillId="7" borderId="6" applyNumberFormat="0" applyAlignment="0" applyProtection="0"/>
    <xf numFmtId="0" fontId="106" fillId="7" borderId="5" applyNumberFormat="0" applyAlignment="0" applyProtection="0"/>
    <xf numFmtId="0" fontId="107" fillId="0" borderId="7" applyNumberFormat="0" applyFill="0" applyAlignment="0" applyProtection="0"/>
    <xf numFmtId="0" fontId="108" fillId="8" borderId="8" applyNumberFormat="0" applyAlignment="0" applyProtection="0"/>
    <xf numFmtId="0" fontId="109" fillId="0" borderId="0" applyNumberFormat="0" applyFill="0" applyBorder="0" applyAlignment="0" applyProtection="0"/>
    <xf numFmtId="0" fontId="2" fillId="9" borderId="9" applyNumberFormat="0" applyFont="0" applyAlignment="0" applyProtection="0"/>
    <xf numFmtId="0" fontId="110" fillId="0" borderId="0" applyNumberFormat="0" applyFill="0" applyBorder="0" applyAlignment="0" applyProtection="0"/>
    <xf numFmtId="0" fontId="111" fillId="0" borderId="10" applyNumberFormat="0" applyFill="0" applyAlignment="0" applyProtection="0"/>
    <xf numFmtId="0" fontId="11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1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1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1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1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1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43" fontId="16" fillId="0" borderId="0"/>
    <xf numFmtId="43" fontId="1" fillId="0" borderId="0"/>
    <xf numFmtId="0" fontId="25" fillId="0" borderId="0"/>
    <xf numFmtId="9" fontId="16" fillId="0" borderId="0"/>
    <xf numFmtId="0" fontId="1" fillId="0" borderId="0"/>
    <xf numFmtId="0" fontId="1" fillId="0" borderId="0"/>
    <xf numFmtId="43" fontId="1" fillId="0" borderId="0"/>
    <xf numFmtId="0" fontId="1" fillId="0" borderId="0"/>
    <xf numFmtId="0" fontId="1" fillId="9" borderId="9"/>
    <xf numFmtId="43" fontId="16" fillId="0" borderId="0"/>
    <xf numFmtId="43" fontId="1" fillId="0" borderId="0"/>
    <xf numFmtId="9" fontId="16" fillId="0" borderId="0"/>
    <xf numFmtId="0" fontId="48" fillId="0" borderId="0"/>
    <xf numFmtId="0" fontId="1" fillId="0" borderId="0"/>
    <xf numFmtId="0" fontId="1" fillId="0" borderId="0"/>
    <xf numFmtId="0" fontId="1" fillId="9" borderId="9"/>
    <xf numFmtId="0" fontId="1" fillId="11" borderId="0"/>
    <xf numFmtId="0" fontId="1" fillId="12" borderId="0"/>
    <xf numFmtId="0" fontId="1" fillId="15" borderId="0"/>
    <xf numFmtId="0" fontId="1" fillId="16" borderId="0"/>
    <xf numFmtId="0" fontId="1" fillId="19" borderId="0"/>
    <xf numFmtId="0" fontId="1" fillId="20" borderId="0"/>
    <xf numFmtId="0" fontId="1" fillId="23" borderId="0"/>
    <xf numFmtId="0" fontId="1" fillId="24" borderId="0"/>
    <xf numFmtId="0" fontId="1" fillId="27" borderId="0"/>
    <xf numFmtId="0" fontId="1" fillId="28" borderId="0"/>
    <xf numFmtId="0" fontId="1" fillId="31" borderId="0"/>
    <xf numFmtId="0" fontId="1" fillId="32" borderId="0"/>
    <xf numFmtId="0" fontId="1" fillId="0" borderId="0"/>
    <xf numFmtId="43" fontId="16" fillId="0" borderId="0"/>
    <xf numFmtId="43" fontId="1" fillId="0" borderId="0"/>
    <xf numFmtId="0" fontId="1" fillId="0" borderId="0"/>
    <xf numFmtId="43" fontId="1" fillId="0" borderId="0"/>
    <xf numFmtId="9" fontId="1" fillId="0" borderId="0"/>
    <xf numFmtId="0" fontId="55" fillId="0" borderId="0">
      <alignment vertical="top"/>
      <protection locked="0"/>
    </xf>
    <xf numFmtId="9" fontId="17" fillId="0" borderId="0"/>
    <xf numFmtId="43" fontId="16" fillId="0" borderId="0"/>
    <xf numFmtId="0" fontId="56" fillId="0" borderId="0"/>
    <xf numFmtId="0" fontId="1" fillId="0" borderId="0"/>
    <xf numFmtId="43" fontId="1" fillId="0" borderId="0"/>
    <xf numFmtId="9" fontId="1" fillId="0" borderId="0"/>
    <xf numFmtId="43" fontId="1" fillId="0" borderId="0"/>
    <xf numFmtId="0" fontId="1" fillId="0" borderId="0"/>
    <xf numFmtId="0" fontId="83" fillId="0" borderId="0"/>
    <xf numFmtId="0" fontId="88" fillId="0" borderId="0">
      <alignment vertical="top"/>
      <protection locked="0"/>
    </xf>
    <xf numFmtId="0" fontId="55" fillId="0" borderId="0">
      <alignment vertical="top"/>
      <protection locked="0"/>
    </xf>
    <xf numFmtId="43" fontId="2" fillId="0" borderId="0"/>
    <xf numFmtId="0" fontId="83" fillId="0" borderId="0"/>
    <xf numFmtId="43" fontId="16" fillId="0" borderId="0"/>
    <xf numFmtId="43" fontId="1" fillId="0" borderId="0"/>
    <xf numFmtId="0" fontId="1" fillId="0" borderId="0"/>
    <xf numFmtId="43" fontId="1" fillId="0" borderId="0"/>
    <xf numFmtId="0" fontId="1" fillId="11" borderId="0"/>
    <xf numFmtId="0" fontId="1" fillId="12" borderId="0"/>
    <xf numFmtId="0" fontId="1" fillId="15" borderId="0"/>
    <xf numFmtId="0" fontId="1" fillId="16" borderId="0"/>
    <xf numFmtId="0" fontId="1" fillId="19" borderId="0"/>
    <xf numFmtId="0" fontId="1" fillId="20" borderId="0"/>
    <xf numFmtId="0" fontId="1" fillId="23" borderId="0"/>
    <xf numFmtId="0" fontId="1" fillId="24" borderId="0"/>
    <xf numFmtId="0" fontId="1" fillId="27" borderId="0"/>
    <xf numFmtId="0" fontId="1" fillId="28" borderId="0"/>
    <xf numFmtId="0" fontId="1" fillId="31" borderId="0"/>
    <xf numFmtId="0" fontId="1" fillId="32" borderId="0"/>
    <xf numFmtId="0" fontId="1" fillId="0" borderId="0"/>
    <xf numFmtId="0" fontId="1" fillId="9" borderId="9"/>
    <xf numFmtId="43" fontId="16" fillId="0" borderId="0"/>
    <xf numFmtId="43" fontId="1" fillId="0" borderId="0"/>
    <xf numFmtId="0" fontId="1" fillId="0" borderId="0"/>
    <xf numFmtId="0" fontId="1" fillId="0" borderId="0"/>
    <xf numFmtId="0" fontId="1" fillId="9" borderId="9"/>
    <xf numFmtId="0" fontId="1" fillId="11" borderId="0"/>
    <xf numFmtId="0" fontId="1" fillId="12" borderId="0"/>
    <xf numFmtId="0" fontId="1" fillId="15" borderId="0"/>
    <xf numFmtId="0" fontId="1" fillId="16" borderId="0"/>
    <xf numFmtId="0" fontId="1" fillId="19" borderId="0"/>
    <xf numFmtId="0" fontId="1" fillId="20" borderId="0"/>
    <xf numFmtId="0" fontId="1" fillId="23" borderId="0"/>
    <xf numFmtId="0" fontId="1" fillId="24" borderId="0"/>
    <xf numFmtId="0" fontId="1" fillId="27" borderId="0"/>
    <xf numFmtId="0" fontId="1" fillId="28" borderId="0"/>
    <xf numFmtId="0" fontId="1" fillId="31" borderId="0"/>
    <xf numFmtId="0" fontId="1" fillId="32" borderId="0"/>
    <xf numFmtId="0" fontId="1" fillId="0" borderId="0"/>
    <xf numFmtId="43" fontId="16" fillId="0" borderId="0"/>
    <xf numFmtId="43" fontId="1" fillId="0" borderId="0"/>
    <xf numFmtId="0" fontId="1" fillId="0" borderId="0"/>
    <xf numFmtId="43" fontId="1" fillId="0" borderId="0"/>
    <xf numFmtId="9" fontId="1" fillId="0" borderId="0"/>
    <xf numFmtId="43" fontId="16" fillId="0" borderId="0"/>
    <xf numFmtId="43" fontId="1" fillId="0" borderId="0"/>
    <xf numFmtId="43" fontId="1" fillId="0" borderId="0"/>
    <xf numFmtId="0" fontId="2" fillId="0" borderId="0"/>
    <xf numFmtId="0" fontId="2" fillId="0" borderId="0"/>
    <xf numFmtId="0" fontId="2" fillId="0" borderId="0"/>
    <xf numFmtId="0" fontId="2" fillId="0" borderId="0"/>
    <xf numFmtId="43" fontId="2" fillId="0" borderId="0"/>
    <xf numFmtId="43" fontId="16" fillId="0" borderId="0"/>
    <xf numFmtId="43" fontId="1" fillId="0" borderId="0"/>
    <xf numFmtId="43" fontId="1" fillId="0" borderId="0"/>
    <xf numFmtId="43" fontId="16" fillId="0" borderId="0"/>
    <xf numFmtId="43" fontId="1" fillId="0" borderId="0"/>
    <xf numFmtId="43" fontId="16" fillId="0" borderId="0"/>
    <xf numFmtId="43" fontId="1" fillId="0" borderId="0"/>
    <xf numFmtId="43" fontId="1" fillId="0" borderId="0"/>
    <xf numFmtId="43" fontId="16" fillId="0" borderId="0"/>
    <xf numFmtId="43" fontId="1" fillId="0" borderId="0"/>
    <xf numFmtId="43" fontId="1" fillId="0" borderId="0"/>
    <xf numFmtId="43" fontId="2" fillId="0" borderId="0"/>
    <xf numFmtId="0" fontId="100" fillId="0" borderId="0"/>
    <xf numFmtId="0" fontId="101" fillId="3" borderId="0"/>
    <xf numFmtId="0" fontId="102" fillId="4" borderId="0"/>
    <xf numFmtId="0" fontId="103" fillId="5" borderId="0"/>
    <xf numFmtId="0" fontId="104" fillId="6" borderId="5"/>
    <xf numFmtId="0" fontId="105" fillId="7" borderId="6"/>
    <xf numFmtId="0" fontId="106" fillId="7" borderId="5"/>
    <xf numFmtId="0" fontId="107" fillId="0" borderId="7"/>
    <xf numFmtId="0" fontId="108" fillId="8" borderId="8"/>
    <xf numFmtId="0" fontId="109" fillId="0" borderId="0"/>
    <xf numFmtId="0" fontId="2" fillId="9" borderId="9"/>
    <xf numFmtId="0" fontId="110" fillId="0" borderId="0"/>
    <xf numFmtId="0" fontId="111" fillId="0" borderId="10"/>
    <xf numFmtId="0" fontId="112" fillId="10" borderId="0"/>
    <xf numFmtId="0" fontId="2" fillId="11" borderId="0"/>
    <xf numFmtId="0" fontId="2" fillId="12" borderId="0"/>
    <xf numFmtId="0" fontId="2" fillId="13" borderId="0"/>
    <xf numFmtId="0" fontId="112" fillId="14" borderId="0"/>
    <xf numFmtId="0" fontId="2" fillId="15" borderId="0"/>
    <xf numFmtId="0" fontId="2" fillId="16" borderId="0"/>
    <xf numFmtId="0" fontId="2" fillId="17" borderId="0"/>
    <xf numFmtId="0" fontId="112" fillId="18" borderId="0"/>
    <xf numFmtId="0" fontId="2" fillId="19" borderId="0"/>
    <xf numFmtId="0" fontId="2" fillId="20" borderId="0"/>
    <xf numFmtId="0" fontId="2" fillId="21" borderId="0"/>
    <xf numFmtId="0" fontId="112" fillId="22" borderId="0"/>
    <xf numFmtId="0" fontId="2" fillId="23" borderId="0"/>
    <xf numFmtId="0" fontId="2" fillId="24" borderId="0"/>
    <xf numFmtId="0" fontId="2" fillId="25" borderId="0"/>
    <xf numFmtId="0" fontId="112" fillId="26" borderId="0"/>
    <xf numFmtId="0" fontId="2" fillId="27" borderId="0"/>
    <xf numFmtId="0" fontId="2" fillId="28" borderId="0"/>
    <xf numFmtId="0" fontId="2" fillId="29" borderId="0"/>
    <xf numFmtId="0" fontId="112" fillId="30" borderId="0"/>
    <xf numFmtId="0" fontId="2" fillId="31" borderId="0"/>
    <xf numFmtId="0" fontId="2" fillId="32" borderId="0"/>
    <xf numFmtId="0" fontId="2" fillId="33" borderId="0"/>
  </cellStyleXfs>
  <cellXfs count="729">
    <xf numFmtId="0" fontId="0" fillId="0" borderId="0" xfId="0"/>
    <xf numFmtId="0" fontId="17" fillId="2" borderId="0" xfId="0" applyFont="1" applyFill="1"/>
    <xf numFmtId="0" fontId="21" fillId="2" borderId="1" xfId="0" applyFont="1" applyFill="1" applyBorder="1" applyAlignment="1" applyProtection="1">
      <alignment horizontal="right" vertical="top" wrapText="1" readingOrder="1"/>
      <protection locked="0"/>
    </xf>
    <xf numFmtId="0" fontId="21" fillId="2" borderId="0" xfId="0" applyFont="1" applyFill="1" applyAlignment="1" applyProtection="1">
      <alignment horizontal="right" vertical="top" wrapText="1" readingOrder="1"/>
      <protection locked="0"/>
    </xf>
    <xf numFmtId="0" fontId="18" fillId="2" borderId="0" xfId="0" applyFont="1" applyFill="1" applyAlignment="1" applyProtection="1">
      <alignment vertical="top" wrapText="1" readingOrder="1"/>
      <protection locked="0"/>
    </xf>
    <xf numFmtId="164" fontId="18" fillId="2" borderId="0" xfId="0" applyNumberFormat="1" applyFont="1" applyFill="1" applyAlignment="1" applyProtection="1">
      <alignment vertical="top" wrapText="1" readingOrder="1"/>
      <protection locked="0"/>
    </xf>
    <xf numFmtId="0" fontId="17" fillId="2" borderId="0" xfId="0" applyFont="1" applyFill="1" applyAlignment="1" applyProtection="1">
      <alignment vertical="top" wrapText="1" readingOrder="1"/>
      <protection locked="0"/>
    </xf>
    <xf numFmtId="0" fontId="18" fillId="2" borderId="0" xfId="0" applyFont="1" applyFill="1" applyAlignment="1" applyProtection="1">
      <alignment horizontal="left" vertical="top" wrapText="1" readingOrder="1"/>
      <protection locked="0"/>
    </xf>
    <xf numFmtId="0" fontId="22" fillId="2" borderId="0" xfId="0" applyFont="1" applyFill="1" applyAlignment="1" applyProtection="1">
      <alignment vertical="top" wrapText="1" readingOrder="1"/>
      <protection locked="0"/>
    </xf>
    <xf numFmtId="164" fontId="22" fillId="2" borderId="0" xfId="0" applyNumberFormat="1" applyFont="1" applyFill="1" applyAlignment="1" applyProtection="1">
      <alignment vertical="top" wrapText="1" readingOrder="1"/>
      <protection locked="0"/>
    </xf>
    <xf numFmtId="0" fontId="23" fillId="2" borderId="0" xfId="0" applyFont="1" applyFill="1"/>
    <xf numFmtId="0" fontId="19" fillId="2" borderId="0" xfId="0" applyFont="1" applyFill="1" applyAlignment="1" applyProtection="1">
      <alignment vertical="top" readingOrder="1"/>
      <protection locked="0"/>
    </xf>
    <xf numFmtId="164" fontId="21" fillId="2" borderId="0" xfId="0" applyNumberFormat="1" applyFont="1" applyFill="1" applyAlignment="1" applyProtection="1">
      <alignment vertical="top" wrapText="1" readingOrder="1"/>
      <protection locked="0"/>
    </xf>
    <xf numFmtId="0" fontId="0" fillId="2" borderId="0" xfId="0" applyFill="1"/>
    <xf numFmtId="0" fontId="24" fillId="2" borderId="0" xfId="0" applyFont="1" applyFill="1"/>
    <xf numFmtId="0" fontId="22" fillId="2" borderId="0" xfId="0" applyFont="1" applyFill="1" applyAlignment="1" applyProtection="1">
      <alignment horizontal="left" vertical="top" wrapText="1" indent="1" readingOrder="1"/>
      <protection locked="0"/>
    </xf>
    <xf numFmtId="0" fontId="21" fillId="2" borderId="0" xfId="0" applyFont="1" applyFill="1" applyAlignment="1" applyProtection="1">
      <alignment horizontal="left" vertical="top" wrapText="1" indent="1" readingOrder="1"/>
      <protection locked="0"/>
    </xf>
    <xf numFmtId="0" fontId="22" fillId="2" borderId="0" xfId="0" applyFont="1" applyFill="1" applyAlignment="1" applyProtection="1">
      <alignment horizontal="left" vertical="top" readingOrder="1"/>
      <protection locked="0"/>
    </xf>
    <xf numFmtId="0" fontId="22" fillId="2" borderId="0" xfId="0" applyFont="1" applyFill="1" applyAlignment="1" applyProtection="1">
      <alignment vertical="top" readingOrder="1"/>
      <protection locked="0"/>
    </xf>
    <xf numFmtId="0" fontId="21" fillId="2" borderId="0" xfId="0" applyFont="1" applyFill="1" applyAlignment="1" applyProtection="1">
      <alignment vertical="top" readingOrder="1"/>
      <protection locked="0"/>
    </xf>
    <xf numFmtId="165" fontId="18" fillId="2" borderId="0" xfId="0" applyNumberFormat="1" applyFont="1" applyFill="1" applyAlignment="1" applyProtection="1">
      <alignment horizontal="right" vertical="top" wrapText="1" readingOrder="1"/>
      <protection locked="0"/>
    </xf>
    <xf numFmtId="165" fontId="17" fillId="2" borderId="0" xfId="0" applyNumberFormat="1" applyFont="1" applyFill="1" applyAlignment="1">
      <alignment horizontal="right"/>
    </xf>
    <xf numFmtId="165" fontId="17" fillId="2" borderId="0" xfId="0" applyNumberFormat="1" applyFont="1" applyFill="1" applyAlignment="1" applyProtection="1">
      <alignment horizontal="right" vertical="top" wrapText="1" readingOrder="1"/>
      <protection locked="0"/>
    </xf>
    <xf numFmtId="0" fontId="21" fillId="2" borderId="0" xfId="0" applyFont="1" applyFill="1" applyAlignment="1" applyProtection="1">
      <alignment horizontal="left" vertical="top" readingOrder="1"/>
      <protection locked="0"/>
    </xf>
    <xf numFmtId="0" fontId="17" fillId="2" borderId="0" xfId="0" applyFont="1" applyFill="1" applyAlignment="1" applyProtection="1">
      <alignment vertical="top" wrapText="1"/>
      <protection locked="0"/>
    </xf>
    <xf numFmtId="0" fontId="21" fillId="2" borderId="0" xfId="0" applyFont="1" applyFill="1" applyAlignment="1" applyProtection="1">
      <alignment horizontal="left" vertical="top" wrapText="1" indent="3" readingOrder="1"/>
      <protection locked="0"/>
    </xf>
    <xf numFmtId="0" fontId="17" fillId="2" borderId="0" xfId="0" applyFont="1" applyFill="1" applyAlignment="1">
      <alignment horizontal="left" indent="3" readingOrder="1"/>
    </xf>
    <xf numFmtId="0" fontId="21" fillId="2" borderId="0" xfId="0" applyFont="1" applyFill="1" applyAlignment="1" applyProtection="1">
      <alignment horizontal="left" vertical="top" wrapText="1" indent="4" readingOrder="1"/>
      <protection locked="0"/>
    </xf>
    <xf numFmtId="0" fontId="17" fillId="2" borderId="0" xfId="0" applyFont="1" applyFill="1" applyAlignment="1" applyProtection="1">
      <alignment horizontal="left" vertical="top" wrapText="1" indent="3" readingOrder="1"/>
      <protection locked="0"/>
    </xf>
    <xf numFmtId="0" fontId="18" fillId="2" borderId="0" xfId="0" applyFont="1" applyFill="1" applyAlignment="1" applyProtection="1">
      <alignment horizontal="left" vertical="top" wrapText="1" indent="3" readingOrder="1"/>
      <protection locked="0"/>
    </xf>
    <xf numFmtId="0" fontId="17" fillId="2" borderId="0" xfId="0" applyFont="1" applyFill="1" applyAlignment="1" applyProtection="1">
      <alignment horizontal="left" vertical="top" wrapText="1" indent="6" readingOrder="1"/>
      <protection locked="0"/>
    </xf>
    <xf numFmtId="165" fontId="21" fillId="2" borderId="0" xfId="0" applyNumberFormat="1" applyFont="1" applyFill="1" applyAlignment="1" applyProtection="1">
      <alignment horizontal="right" vertical="top" wrapText="1" readingOrder="1"/>
      <protection locked="0"/>
    </xf>
    <xf numFmtId="165" fontId="28" fillId="0" borderId="0" xfId="2" applyNumberFormat="1" applyFont="1" applyAlignment="1">
      <alignment horizontal="right"/>
    </xf>
    <xf numFmtId="165" fontId="28" fillId="0" borderId="0" xfId="2" applyNumberFormat="1" applyFont="1" applyAlignment="1">
      <alignment horizontal="left"/>
    </xf>
    <xf numFmtId="0" fontId="17" fillId="0" borderId="0" xfId="9" applyAlignment="1">
      <alignment horizontal="left"/>
    </xf>
    <xf numFmtId="3" fontId="18" fillId="2" borderId="0" xfId="0" applyNumberFormat="1" applyFont="1" applyFill="1" applyAlignment="1">
      <alignment vertical="center"/>
    </xf>
    <xf numFmtId="3" fontId="17" fillId="2" borderId="0" xfId="0" applyNumberFormat="1" applyFont="1" applyFill="1" applyAlignment="1">
      <alignment vertical="center"/>
    </xf>
    <xf numFmtId="0" fontId="18" fillId="2" borderId="0" xfId="0" applyFont="1" applyFill="1"/>
    <xf numFmtId="3" fontId="17" fillId="2" borderId="0" xfId="0" applyNumberFormat="1" applyFont="1" applyFill="1"/>
    <xf numFmtId="0" fontId="17" fillId="2" borderId="0" xfId="0" applyFont="1" applyFill="1" applyAlignment="1">
      <alignment horizontal="right"/>
    </xf>
    <xf numFmtId="0" fontId="49" fillId="2" borderId="0" xfId="0" applyFont="1" applyFill="1" applyAlignment="1" applyProtection="1">
      <alignment vertical="top" wrapText="1" readingOrder="1"/>
      <protection locked="0"/>
    </xf>
    <xf numFmtId="0" fontId="49" fillId="2" borderId="0" xfId="0" applyFont="1" applyFill="1" applyAlignment="1" applyProtection="1">
      <alignment horizontal="right" vertical="top" wrapText="1" readingOrder="1"/>
      <protection locked="0"/>
    </xf>
    <xf numFmtId="0" fontId="50" fillId="2" borderId="0" xfId="0" applyFont="1" applyFill="1"/>
    <xf numFmtId="0" fontId="21" fillId="2" borderId="13" xfId="0" applyFont="1" applyFill="1" applyBorder="1" applyAlignment="1" applyProtection="1">
      <alignment horizontal="right" vertical="top" wrapText="1" readingOrder="1"/>
      <protection locked="0"/>
    </xf>
    <xf numFmtId="0" fontId="17" fillId="0" borderId="0" xfId="0" applyFont="1"/>
    <xf numFmtId="165" fontId="17" fillId="2" borderId="0" xfId="0" applyNumberFormat="1" applyFont="1" applyFill="1"/>
    <xf numFmtId="3" fontId="18" fillId="2" borderId="0" xfId="0" applyNumberFormat="1" applyFont="1" applyFill="1" applyAlignment="1">
      <alignment horizontal="right" vertical="top"/>
    </xf>
    <xf numFmtId="3" fontId="17" fillId="2" borderId="0" xfId="0" applyNumberFormat="1" applyFont="1" applyFill="1" applyAlignment="1">
      <alignment horizontal="right"/>
    </xf>
    <xf numFmtId="3" fontId="22" fillId="2" borderId="0" xfId="0" applyNumberFormat="1" applyFont="1" applyFill="1" applyAlignment="1" applyProtection="1">
      <alignment horizontal="right" vertical="top" wrapText="1"/>
      <protection locked="0"/>
    </xf>
    <xf numFmtId="3" fontId="18" fillId="2" borderId="0" xfId="0" applyNumberFormat="1" applyFont="1" applyFill="1" applyAlignment="1">
      <alignment vertical="top"/>
    </xf>
    <xf numFmtId="3" fontId="17" fillId="2" borderId="0" xfId="0" applyNumberFormat="1" applyFont="1" applyFill="1" applyAlignment="1">
      <alignment horizontal="right" vertical="top"/>
    </xf>
    <xf numFmtId="3" fontId="21" fillId="2" borderId="0" xfId="0" applyNumberFormat="1" applyFont="1" applyFill="1" applyAlignment="1" applyProtection="1">
      <alignment horizontal="right" vertical="top" wrapText="1"/>
      <protection locked="0"/>
    </xf>
    <xf numFmtId="3" fontId="17" fillId="2" borderId="0" xfId="0" applyNumberFormat="1" applyFont="1" applyFill="1" applyAlignment="1">
      <alignment vertical="top"/>
    </xf>
    <xf numFmtId="3" fontId="18" fillId="2" borderId="0" xfId="0" applyNumberFormat="1" applyFont="1" applyFill="1" applyAlignment="1">
      <alignment horizontal="right"/>
    </xf>
    <xf numFmtId="167" fontId="17" fillId="2" borderId="0" xfId="0" applyNumberFormat="1" applyFont="1" applyFill="1"/>
    <xf numFmtId="0" fontId="22" fillId="0" borderId="0" xfId="0" applyFont="1" applyAlignment="1" applyProtection="1">
      <alignment vertical="top" wrapText="1" readingOrder="1"/>
      <protection locked="0"/>
    </xf>
    <xf numFmtId="0" fontId="21" fillId="0" borderId="0" xfId="0" applyFont="1" applyAlignment="1" applyProtection="1">
      <alignment vertical="top" wrapText="1" readingOrder="1"/>
      <protection locked="0"/>
    </xf>
    <xf numFmtId="0" fontId="22" fillId="0" borderId="0" xfId="0" applyFont="1" applyAlignment="1" applyProtection="1">
      <alignment horizontal="left" vertical="top" wrapText="1" readingOrder="1"/>
      <protection locked="0"/>
    </xf>
    <xf numFmtId="0" fontId="21" fillId="0" borderId="0" xfId="0" applyFont="1" applyAlignment="1" applyProtection="1">
      <alignment horizontal="left" vertical="top" wrapText="1" indent="4" readingOrder="1"/>
      <protection locked="0"/>
    </xf>
    <xf numFmtId="0" fontId="21" fillId="0" borderId="0" xfId="0" applyFont="1" applyAlignment="1" applyProtection="1">
      <alignment horizontal="left" vertical="top" wrapText="1" indent="3" readingOrder="1"/>
      <protection locked="0"/>
    </xf>
    <xf numFmtId="2" fontId="17" fillId="2" borderId="0" xfId="0" applyNumberFormat="1" applyFont="1" applyFill="1"/>
    <xf numFmtId="165" fontId="28" fillId="2" borderId="0" xfId="2" applyNumberFormat="1" applyFont="1" applyFill="1" applyAlignment="1">
      <alignment horizontal="right"/>
    </xf>
    <xf numFmtId="0" fontId="17" fillId="2" borderId="0" xfId="0" applyFont="1" applyFill="1" applyAlignment="1">
      <alignment wrapText="1"/>
    </xf>
    <xf numFmtId="3" fontId="21" fillId="2" borderId="0" xfId="0" applyNumberFormat="1" applyFont="1" applyFill="1" applyAlignment="1" applyProtection="1">
      <alignment vertical="top" wrapText="1" readingOrder="1"/>
      <protection locked="0"/>
    </xf>
    <xf numFmtId="167" fontId="17" fillId="2" borderId="0" xfId="0" applyNumberFormat="1" applyFont="1" applyFill="1" applyAlignment="1">
      <alignment horizontal="center"/>
    </xf>
    <xf numFmtId="0" fontId="17" fillId="2" borderId="0" xfId="0" applyFont="1" applyFill="1" applyAlignment="1">
      <alignment horizontal="center"/>
    </xf>
    <xf numFmtId="0" fontId="17" fillId="2" borderId="0" xfId="0" applyFont="1" applyFill="1" applyAlignment="1">
      <alignment horizontal="left" vertical="center"/>
    </xf>
    <xf numFmtId="0" fontId="29" fillId="2" borderId="0" xfId="10" applyFont="1" applyFill="1"/>
    <xf numFmtId="0" fontId="21" fillId="2" borderId="0" xfId="0" applyFont="1" applyFill="1" applyAlignment="1" applyProtection="1">
      <alignment horizontal="left" vertical="center" wrapText="1"/>
      <protection locked="0"/>
    </xf>
    <xf numFmtId="0" fontId="23" fillId="2" borderId="0" xfId="10" applyFont="1" applyFill="1"/>
    <xf numFmtId="3" fontId="17" fillId="2" borderId="0" xfId="0" applyNumberFormat="1" applyFont="1" applyFill="1" applyAlignment="1">
      <alignment horizontal="right" vertical="center"/>
    </xf>
    <xf numFmtId="165" fontId="28" fillId="2" borderId="0" xfId="2" applyNumberFormat="1" applyFont="1" applyFill="1" applyAlignment="1">
      <alignment horizontal="left"/>
    </xf>
    <xf numFmtId="0" fontId="22" fillId="2" borderId="0" xfId="0" applyFont="1" applyFill="1" applyAlignment="1" applyProtection="1">
      <alignment vertical="top" wrapText="1"/>
      <protection locked="0"/>
    </xf>
    <xf numFmtId="2" fontId="52" fillId="2" borderId="0" xfId="0" applyNumberFormat="1" applyFont="1" applyFill="1"/>
    <xf numFmtId="0" fontId="52" fillId="2" borderId="0" xfId="0" applyFont="1" applyFill="1"/>
    <xf numFmtId="0" fontId="53" fillId="2" borderId="0" xfId="0" applyFont="1" applyFill="1" applyAlignment="1" applyProtection="1">
      <alignment vertical="top" readingOrder="1"/>
      <protection locked="0"/>
    </xf>
    <xf numFmtId="3" fontId="52" fillId="2" borderId="0" xfId="0" applyNumberFormat="1" applyFont="1" applyFill="1"/>
    <xf numFmtId="168" fontId="17" fillId="2" borderId="0" xfId="0" applyNumberFormat="1" applyFont="1" applyFill="1"/>
    <xf numFmtId="0" fontId="18" fillId="2" borderId="20" xfId="0" applyFont="1" applyFill="1" applyBorder="1" applyAlignment="1" applyProtection="1">
      <alignment vertical="top" wrapText="1" readingOrder="1"/>
      <protection locked="0"/>
    </xf>
    <xf numFmtId="165" fontId="18" fillId="2" borderId="20" xfId="0" applyNumberFormat="1" applyFont="1" applyFill="1" applyBorder="1" applyAlignment="1" applyProtection="1">
      <alignment horizontal="right" vertical="top" wrapText="1" readingOrder="1"/>
      <protection locked="0"/>
    </xf>
    <xf numFmtId="165" fontId="17" fillId="2" borderId="20" xfId="0" applyNumberFormat="1" applyFont="1" applyFill="1" applyBorder="1" applyAlignment="1">
      <alignment horizontal="right"/>
    </xf>
    <xf numFmtId="3" fontId="18" fillId="2" borderId="20" xfId="0" applyNumberFormat="1" applyFont="1" applyFill="1" applyBorder="1" applyAlignment="1">
      <alignment vertical="center"/>
    </xf>
    <xf numFmtId="0" fontId="21" fillId="2" borderId="20" xfId="0" applyFont="1" applyFill="1" applyBorder="1" applyAlignment="1" applyProtection="1">
      <alignment vertical="top" wrapText="1" readingOrder="1"/>
      <protection locked="0"/>
    </xf>
    <xf numFmtId="0" fontId="17" fillId="2" borderId="20" xfId="0" applyFont="1" applyFill="1" applyBorder="1"/>
    <xf numFmtId="0" fontId="19" fillId="2" borderId="20" xfId="0" applyFont="1" applyFill="1" applyBorder="1" applyAlignment="1" applyProtection="1">
      <alignment horizontal="left" vertical="top" wrapText="1" readingOrder="1"/>
      <protection locked="0"/>
    </xf>
    <xf numFmtId="0" fontId="20" fillId="2" borderId="20" xfId="0" applyFont="1" applyFill="1" applyBorder="1" applyAlignment="1">
      <alignment horizontal="right"/>
    </xf>
    <xf numFmtId="167" fontId="17" fillId="2" borderId="0" xfId="0" applyNumberFormat="1" applyFont="1" applyFill="1" applyAlignment="1">
      <alignment horizontal="right"/>
    </xf>
    <xf numFmtId="0" fontId="21" fillId="2" borderId="22" xfId="0" applyFont="1" applyFill="1" applyBorder="1" applyAlignment="1" applyProtection="1">
      <alignment horizontal="right" vertical="top" wrapText="1" readingOrder="1"/>
      <protection locked="0"/>
    </xf>
    <xf numFmtId="3" fontId="29" fillId="2" borderId="0" xfId="0" applyNumberFormat="1" applyFont="1" applyFill="1" applyAlignment="1">
      <alignment vertical="top" wrapText="1"/>
    </xf>
    <xf numFmtId="165" fontId="17" fillId="2" borderId="0" xfId="0" applyNumberFormat="1" applyFont="1" applyFill="1" applyAlignment="1">
      <alignment horizontal="right" vertical="top" wrapText="1"/>
    </xf>
    <xf numFmtId="165" fontId="18" fillId="2" borderId="0" xfId="0" applyNumberFormat="1" applyFont="1" applyFill="1" applyAlignment="1">
      <alignment horizontal="right" vertical="top" wrapText="1"/>
    </xf>
    <xf numFmtId="0" fontId="17" fillId="2" borderId="0" xfId="0" applyFont="1" applyFill="1" applyAlignment="1" applyProtection="1">
      <alignment horizontal="right" vertical="top" wrapText="1" readingOrder="1"/>
      <protection locked="0"/>
    </xf>
    <xf numFmtId="165" fontId="17" fillId="2" borderId="0" xfId="2" applyNumberFormat="1" applyFont="1" applyFill="1" applyAlignment="1">
      <alignment horizontal="right" vertical="top" wrapText="1"/>
    </xf>
    <xf numFmtId="165" fontId="18" fillId="2" borderId="20" xfId="0" applyNumberFormat="1" applyFont="1" applyFill="1" applyBorder="1" applyAlignment="1">
      <alignment horizontal="right"/>
    </xf>
    <xf numFmtId="3" fontId="22" fillId="2" borderId="0" xfId="0" applyNumberFormat="1" applyFont="1" applyFill="1" applyAlignment="1" applyProtection="1">
      <alignment vertical="top" wrapText="1" readingOrder="1"/>
      <protection locked="0"/>
    </xf>
    <xf numFmtId="0" fontId="22" fillId="2" borderId="20" xfId="0" applyFont="1" applyFill="1" applyBorder="1" applyAlignment="1" applyProtection="1">
      <alignment vertical="top" wrapText="1" readingOrder="1"/>
      <protection locked="0"/>
    </xf>
    <xf numFmtId="0" fontId="19" fillId="2" borderId="23" xfId="0" applyFont="1" applyFill="1" applyBorder="1" applyAlignment="1" applyProtection="1">
      <alignment horizontal="left" vertical="top" wrapText="1" readingOrder="1"/>
      <protection locked="0"/>
    </xf>
    <xf numFmtId="3" fontId="22" fillId="2" borderId="20" xfId="0" applyNumberFormat="1" applyFont="1" applyFill="1" applyBorder="1" applyAlignment="1" applyProtection="1">
      <alignment vertical="top" wrapText="1" readingOrder="1"/>
      <protection locked="0"/>
    </xf>
    <xf numFmtId="0" fontId="21" fillId="2" borderId="23" xfId="0" applyFont="1" applyFill="1" applyBorder="1" applyAlignment="1" applyProtection="1">
      <alignment vertical="top" wrapText="1" readingOrder="1"/>
      <protection locked="0"/>
    </xf>
    <xf numFmtId="0" fontId="51" fillId="2" borderId="20" xfId="0" applyFont="1" applyFill="1" applyBorder="1" applyAlignment="1" applyProtection="1">
      <alignment horizontal="left" vertical="top" wrapText="1" readingOrder="1"/>
      <protection locked="0"/>
    </xf>
    <xf numFmtId="164" fontId="21" fillId="2" borderId="20" xfId="0" applyNumberFormat="1" applyFont="1" applyFill="1" applyBorder="1" applyAlignment="1" applyProtection="1">
      <alignment vertical="top" wrapText="1" readingOrder="1"/>
      <protection locked="0"/>
    </xf>
    <xf numFmtId="3" fontId="17" fillId="2" borderId="20" xfId="0" applyNumberFormat="1" applyFont="1" applyFill="1" applyBorder="1"/>
    <xf numFmtId="167" fontId="18" fillId="2" borderId="0" xfId="0" applyNumberFormat="1" applyFont="1" applyFill="1" applyAlignment="1">
      <alignment horizontal="right"/>
    </xf>
    <xf numFmtId="3" fontId="17" fillId="2" borderId="0" xfId="0" applyNumberFormat="1" applyFont="1" applyFill="1" applyAlignment="1">
      <alignment horizontal="right" wrapText="1"/>
    </xf>
    <xf numFmtId="0" fontId="17" fillId="2" borderId="0" xfId="0" applyFont="1" applyFill="1" applyAlignment="1">
      <alignment horizontal="right" wrapText="1"/>
    </xf>
    <xf numFmtId="0" fontId="17" fillId="0" borderId="0" xfId="9" applyAlignment="1">
      <alignment wrapText="1"/>
    </xf>
    <xf numFmtId="167" fontId="18" fillId="2" borderId="0" xfId="0" applyNumberFormat="1" applyFont="1" applyFill="1" applyAlignment="1">
      <alignment horizontal="right" vertical="top" wrapText="1"/>
    </xf>
    <xf numFmtId="167" fontId="17" fillId="2" borderId="0" xfId="0" applyNumberFormat="1" applyFont="1" applyFill="1" applyAlignment="1">
      <alignment horizontal="right" vertical="top" wrapText="1"/>
    </xf>
    <xf numFmtId="3" fontId="18" fillId="2" borderId="0" xfId="0" applyNumberFormat="1" applyFont="1" applyFill="1" applyAlignment="1">
      <alignment horizontal="right" vertical="top" wrapText="1"/>
    </xf>
    <xf numFmtId="0" fontId="17" fillId="2" borderId="0" xfId="0" applyFont="1" applyFill="1" applyAlignment="1">
      <alignment horizontal="right" vertical="top" wrapText="1"/>
    </xf>
    <xf numFmtId="0" fontId="20" fillId="2" borderId="0" xfId="0" applyFont="1" applyFill="1" applyAlignment="1">
      <alignment horizontal="right"/>
    </xf>
    <xf numFmtId="0" fontId="22" fillId="2" borderId="20" xfId="0" applyFont="1" applyFill="1" applyBorder="1" applyAlignment="1" applyProtection="1">
      <alignment vertical="top" readingOrder="1"/>
      <protection locked="0"/>
    </xf>
    <xf numFmtId="0" fontId="21" fillId="2" borderId="16" xfId="0" applyFont="1" applyFill="1" applyBorder="1" applyAlignment="1" applyProtection="1">
      <alignment horizontal="right" vertical="top" wrapText="1" readingOrder="1"/>
      <protection locked="0"/>
    </xf>
    <xf numFmtId="0" fontId="21" fillId="2" borderId="24" xfId="0" applyFont="1" applyFill="1" applyBorder="1" applyAlignment="1" applyProtection="1">
      <alignment horizontal="right" vertical="top" wrapText="1" readingOrder="1"/>
      <protection locked="0"/>
    </xf>
    <xf numFmtId="0" fontId="59" fillId="2" borderId="0" xfId="0" applyFont="1" applyFill="1"/>
    <xf numFmtId="3" fontId="18" fillId="2" borderId="0" xfId="0" applyNumberFormat="1" applyFont="1" applyFill="1" applyAlignment="1">
      <alignment horizontal="right" wrapText="1"/>
    </xf>
    <xf numFmtId="0" fontId="0" fillId="2" borderId="20" xfId="0" applyFill="1" applyBorder="1"/>
    <xf numFmtId="165" fontId="17" fillId="2" borderId="0" xfId="0" applyNumberFormat="1" applyFont="1" applyFill="1" applyAlignment="1">
      <alignment horizontal="right" vertical="top" wrapText="1" readingOrder="1"/>
    </xf>
    <xf numFmtId="0" fontId="17" fillId="0" borderId="0" xfId="9" applyAlignment="1">
      <alignment horizontal="left" vertical="top"/>
    </xf>
    <xf numFmtId="0" fontId="18" fillId="2" borderId="23" xfId="0" applyFont="1" applyFill="1" applyBorder="1" applyAlignment="1">
      <alignment horizontal="right" vertical="center" wrapText="1"/>
    </xf>
    <xf numFmtId="0" fontId="29" fillId="2" borderId="0" xfId="10" applyFont="1" applyFill="1" applyAlignment="1">
      <alignment horizontal="left" indent="2"/>
    </xf>
    <xf numFmtId="0" fontId="23" fillId="2" borderId="0" xfId="10" applyFont="1" applyFill="1" applyAlignment="1">
      <alignment horizontal="left" indent="2"/>
    </xf>
    <xf numFmtId="0" fontId="21" fillId="2" borderId="0" xfId="0" applyFont="1" applyFill="1" applyAlignment="1" applyProtection="1">
      <alignment horizontal="left" vertical="top" wrapText="1" indent="2" readingOrder="1"/>
      <protection locked="0"/>
    </xf>
    <xf numFmtId="0" fontId="18" fillId="2" borderId="23" xfId="0" applyFont="1" applyFill="1" applyBorder="1" applyAlignment="1">
      <alignment horizontal="left" vertical="center" wrapText="1"/>
    </xf>
    <xf numFmtId="0" fontId="18" fillId="2" borderId="0" xfId="0" applyFont="1" applyFill="1" applyAlignment="1" applyProtection="1">
      <alignment vertical="top" readingOrder="1"/>
      <protection locked="0"/>
    </xf>
    <xf numFmtId="0" fontId="17" fillId="2" borderId="0" xfId="0" applyFont="1" applyFill="1" applyAlignment="1" applyProtection="1">
      <alignment vertical="top" readingOrder="1"/>
      <protection locked="0"/>
    </xf>
    <xf numFmtId="0" fontId="17" fillId="2" borderId="0" xfId="0" applyFont="1" applyFill="1" applyAlignment="1">
      <alignment horizontal="left" indent="2"/>
    </xf>
    <xf numFmtId="0" fontId="22" fillId="2" borderId="23" xfId="0" applyFont="1" applyFill="1" applyBorder="1" applyAlignment="1" applyProtection="1">
      <alignment horizontal="right" vertical="center" wrapText="1" readingOrder="1"/>
      <protection locked="0"/>
    </xf>
    <xf numFmtId="0" fontId="19" fillId="2" borderId="0" xfId="0" applyFont="1" applyFill="1" applyAlignment="1" applyProtection="1">
      <alignment vertical="top" wrapText="1" readingOrder="1"/>
      <protection locked="0"/>
    </xf>
    <xf numFmtId="170" fontId="18" fillId="2" borderId="0" xfId="0" applyNumberFormat="1" applyFont="1" applyFill="1" applyAlignment="1" applyProtection="1">
      <alignment horizontal="right" vertical="top" wrapText="1" readingOrder="1"/>
      <protection locked="0"/>
    </xf>
    <xf numFmtId="165" fontId="18" fillId="2" borderId="0" xfId="0" applyNumberFormat="1" applyFont="1" applyFill="1" applyAlignment="1">
      <alignment horizontal="right"/>
    </xf>
    <xf numFmtId="3" fontId="18" fillId="2" borderId="0" xfId="0" applyNumberFormat="1" applyFont="1" applyFill="1" applyAlignment="1">
      <alignment horizontal="right" vertical="center" wrapText="1"/>
    </xf>
    <xf numFmtId="169" fontId="18" fillId="2" borderId="0" xfId="0" applyNumberFormat="1" applyFont="1" applyFill="1" applyAlignment="1">
      <alignment horizontal="right" vertical="center" wrapText="1"/>
    </xf>
    <xf numFmtId="3" fontId="62" fillId="35" borderId="0" xfId="0" applyNumberFormat="1" applyFont="1" applyFill="1"/>
    <xf numFmtId="3" fontId="0" fillId="0" borderId="0" xfId="0" applyNumberFormat="1"/>
    <xf numFmtId="0" fontId="23" fillId="2" borderId="0" xfId="10" applyFont="1" applyFill="1" applyAlignment="1">
      <alignment horizontal="left"/>
    </xf>
    <xf numFmtId="3" fontId="62" fillId="35" borderId="0" xfId="0" applyNumberFormat="1" applyFont="1" applyFill="1" applyAlignment="1">
      <alignment horizontal="right"/>
    </xf>
    <xf numFmtId="3" fontId="0" fillId="0" borderId="0" xfId="0" applyNumberFormat="1" applyAlignment="1">
      <alignment horizontal="right"/>
    </xf>
    <xf numFmtId="0" fontId="52" fillId="2" borderId="0" xfId="0" applyFont="1" applyFill="1" applyAlignment="1">
      <alignment horizontal="right"/>
    </xf>
    <xf numFmtId="2" fontId="52" fillId="2" borderId="0" xfId="0" applyNumberFormat="1" applyFont="1" applyFill="1" applyAlignment="1">
      <alignment horizontal="right"/>
    </xf>
    <xf numFmtId="0" fontId="17" fillId="2" borderId="14" xfId="0" applyFont="1" applyFill="1" applyBorder="1"/>
    <xf numFmtId="0" fontId="50" fillId="2" borderId="14" xfId="0" applyFont="1" applyFill="1" applyBorder="1" applyAlignment="1">
      <alignment horizontal="right"/>
    </xf>
    <xf numFmtId="165" fontId="18" fillId="2" borderId="14" xfId="0" applyNumberFormat="1" applyFont="1" applyFill="1" applyBorder="1" applyAlignment="1" applyProtection="1">
      <alignment horizontal="right" vertical="top" wrapText="1" readingOrder="1"/>
      <protection locked="0"/>
    </xf>
    <xf numFmtId="0" fontId="50" fillId="2" borderId="14" xfId="0" applyFont="1" applyFill="1" applyBorder="1" applyAlignment="1">
      <alignment horizontal="right" vertical="top"/>
    </xf>
    <xf numFmtId="0" fontId="17" fillId="2" borderId="12" xfId="0" applyFont="1" applyFill="1" applyBorder="1"/>
    <xf numFmtId="3" fontId="18" fillId="2" borderId="12" xfId="0" applyNumberFormat="1" applyFont="1" applyFill="1" applyBorder="1" applyAlignment="1">
      <alignment horizontal="right" vertical="top" wrapText="1"/>
    </xf>
    <xf numFmtId="0" fontId="17" fillId="2" borderId="12" xfId="0" applyFont="1" applyFill="1" applyBorder="1" applyAlignment="1">
      <alignment horizontal="right" vertical="top" wrapText="1"/>
    </xf>
    <xf numFmtId="0" fontId="18" fillId="2" borderId="12" xfId="0" applyFont="1" applyFill="1" applyBorder="1" applyAlignment="1">
      <alignment horizontal="right" vertical="top" wrapText="1"/>
    </xf>
    <xf numFmtId="165" fontId="17" fillId="2" borderId="12" xfId="0" applyNumberFormat="1" applyFont="1" applyFill="1" applyBorder="1" applyAlignment="1">
      <alignment horizontal="right" vertical="top" wrapText="1"/>
    </xf>
    <xf numFmtId="0" fontId="17" fillId="2" borderId="27" xfId="0" applyFont="1" applyFill="1" applyBorder="1"/>
    <xf numFmtId="0" fontId="50" fillId="2" borderId="12" xfId="0" applyFont="1" applyFill="1" applyBorder="1" applyAlignment="1">
      <alignment horizontal="right" vertical="top"/>
    </xf>
    <xf numFmtId="3" fontId="18" fillId="2" borderId="14" xfId="0" applyNumberFormat="1" applyFont="1" applyFill="1" applyBorder="1" applyAlignment="1">
      <alignment vertical="center"/>
    </xf>
    <xf numFmtId="3" fontId="17" fillId="2" borderId="14" xfId="0" applyNumberFormat="1" applyFont="1" applyFill="1" applyBorder="1" applyAlignment="1">
      <alignment vertical="center"/>
    </xf>
    <xf numFmtId="3" fontId="17" fillId="2" borderId="14" xfId="0" applyNumberFormat="1" applyFont="1" applyFill="1" applyBorder="1"/>
    <xf numFmtId="0" fontId="21" fillId="2" borderId="21" xfId="0" applyFont="1" applyFill="1" applyBorder="1" applyAlignment="1" applyProtection="1">
      <alignment vertical="top" wrapText="1" readingOrder="1"/>
      <protection locked="0"/>
    </xf>
    <xf numFmtId="0" fontId="21" fillId="2" borderId="29" xfId="0" applyFont="1" applyFill="1" applyBorder="1" applyAlignment="1" applyProtection="1">
      <alignment horizontal="right" vertical="top" wrapText="1" readingOrder="1"/>
      <protection locked="0"/>
    </xf>
    <xf numFmtId="0" fontId="17" fillId="2" borderId="30" xfId="0" applyFont="1" applyFill="1" applyBorder="1"/>
    <xf numFmtId="0" fontId="50" fillId="2" borderId="30" xfId="0" applyFont="1" applyFill="1" applyBorder="1" applyAlignment="1">
      <alignment horizontal="right" vertical="center" wrapText="1"/>
    </xf>
    <xf numFmtId="3" fontId="29" fillId="2" borderId="30" xfId="0" applyNumberFormat="1" applyFont="1" applyFill="1" applyBorder="1" applyAlignment="1">
      <alignment vertical="top" wrapText="1"/>
    </xf>
    <xf numFmtId="165" fontId="17" fillId="2" borderId="30" xfId="0" applyNumberFormat="1" applyFont="1" applyFill="1" applyBorder="1" applyAlignment="1" applyProtection="1">
      <alignment horizontal="right" vertical="top" wrapText="1" readingOrder="1"/>
      <protection locked="0"/>
    </xf>
    <xf numFmtId="165" fontId="17" fillId="2" borderId="30" xfId="0" applyNumberFormat="1" applyFont="1" applyFill="1" applyBorder="1" applyAlignment="1">
      <alignment horizontal="right" vertical="top" wrapText="1"/>
    </xf>
    <xf numFmtId="165" fontId="18" fillId="2" borderId="30" xfId="0" applyNumberFormat="1" applyFont="1" applyFill="1" applyBorder="1" applyAlignment="1" applyProtection="1">
      <alignment horizontal="right" vertical="top" wrapText="1" readingOrder="1"/>
      <protection locked="0"/>
    </xf>
    <xf numFmtId="165" fontId="18" fillId="2" borderId="31" xfId="0" applyNumberFormat="1" applyFont="1" applyFill="1" applyBorder="1" applyAlignment="1">
      <alignment horizontal="right"/>
    </xf>
    <xf numFmtId="0" fontId="50" fillId="2" borderId="12" xfId="0" applyFont="1" applyFill="1" applyBorder="1" applyAlignment="1">
      <alignment horizontal="right" vertical="top" wrapText="1"/>
    </xf>
    <xf numFmtId="0" fontId="0" fillId="2" borderId="14" xfId="0" applyFill="1" applyBorder="1"/>
    <xf numFmtId="165" fontId="21" fillId="2" borderId="14" xfId="0" applyNumberFormat="1" applyFont="1" applyFill="1" applyBorder="1" applyAlignment="1" applyProtection="1">
      <alignment horizontal="right" vertical="top" wrapText="1" readingOrder="1"/>
      <protection locked="0"/>
    </xf>
    <xf numFmtId="165" fontId="17" fillId="2" borderId="14" xfId="0" applyNumberFormat="1" applyFont="1" applyFill="1" applyBorder="1" applyAlignment="1">
      <alignment horizontal="right" vertical="top" wrapText="1" readingOrder="1"/>
    </xf>
    <xf numFmtId="0" fontId="21" fillId="2" borderId="14" xfId="0" applyFont="1" applyFill="1" applyBorder="1" applyAlignment="1" applyProtection="1">
      <alignment horizontal="right" vertical="top" wrapText="1" readingOrder="1"/>
      <protection locked="0"/>
    </xf>
    <xf numFmtId="164" fontId="21" fillId="2" borderId="21" xfId="0" applyNumberFormat="1" applyFont="1" applyFill="1" applyBorder="1" applyAlignment="1" applyProtection="1">
      <alignment vertical="top" wrapText="1" readingOrder="1"/>
      <protection locked="0"/>
    </xf>
    <xf numFmtId="0" fontId="50" fillId="2" borderId="14" xfId="0" applyFont="1" applyFill="1" applyBorder="1" applyAlignment="1">
      <alignment horizontal="right" vertical="top" wrapText="1"/>
    </xf>
    <xf numFmtId="0" fontId="49" fillId="2" borderId="0" xfId="0" applyFont="1" applyFill="1" applyAlignment="1" applyProtection="1">
      <alignment horizontal="right" wrapText="1" readingOrder="1"/>
      <protection locked="0"/>
    </xf>
    <xf numFmtId="0" fontId="49" fillId="2" borderId="0" xfId="0" applyFont="1" applyFill="1" applyAlignment="1" applyProtection="1">
      <alignment wrapText="1" readingOrder="1"/>
      <protection locked="0"/>
    </xf>
    <xf numFmtId="0" fontId="50" fillId="2" borderId="30" xfId="0" applyFont="1" applyFill="1" applyBorder="1" applyAlignment="1">
      <alignment horizontal="right" vertical="top" wrapText="1"/>
    </xf>
    <xf numFmtId="0" fontId="21" fillId="2" borderId="0" xfId="0" applyFont="1" applyFill="1" applyAlignment="1" applyProtection="1">
      <alignment horizontal="left" wrapText="1" readingOrder="1"/>
      <protection locked="0"/>
    </xf>
    <xf numFmtId="165" fontId="17" fillId="2" borderId="0" xfId="0" applyNumberFormat="1" applyFont="1" applyFill="1" applyAlignment="1">
      <alignment horizontal="right" vertical="top"/>
    </xf>
    <xf numFmtId="0" fontId="17" fillId="2" borderId="0" xfId="0" applyFont="1" applyFill="1" applyAlignment="1">
      <alignment vertical="top"/>
    </xf>
    <xf numFmtId="3" fontId="23" fillId="2" borderId="0" xfId="0" applyNumberFormat="1" applyFont="1" applyFill="1" applyAlignment="1">
      <alignment vertical="top"/>
    </xf>
    <xf numFmtId="3" fontId="17" fillId="2" borderId="0" xfId="0" applyNumberFormat="1" applyFont="1" applyFill="1" applyAlignment="1" applyProtection="1">
      <alignment horizontal="right" wrapText="1" readingOrder="1"/>
      <protection locked="0"/>
    </xf>
    <xf numFmtId="165" fontId="18" fillId="2" borderId="0" xfId="0" applyNumberFormat="1" applyFont="1" applyFill="1" applyAlignment="1">
      <alignment horizontal="right" vertical="top"/>
    </xf>
    <xf numFmtId="165" fontId="17" fillId="2" borderId="0" xfId="1" applyNumberFormat="1" applyFont="1" applyFill="1" applyAlignment="1">
      <alignment horizontal="right" vertical="top"/>
    </xf>
    <xf numFmtId="167" fontId="17" fillId="2" borderId="0" xfId="1" applyNumberFormat="1" applyFont="1" applyFill="1" applyAlignment="1">
      <alignment horizontal="right" vertical="top"/>
    </xf>
    <xf numFmtId="165" fontId="29" fillId="2" borderId="0" xfId="1" applyNumberFormat="1" applyFont="1" applyFill="1" applyAlignment="1">
      <alignment vertical="top"/>
    </xf>
    <xf numFmtId="0" fontId="18" fillId="2" borderId="0" xfId="0" applyFont="1" applyFill="1" applyAlignment="1">
      <alignment vertical="top"/>
    </xf>
    <xf numFmtId="165" fontId="17" fillId="2" borderId="0" xfId="1" applyNumberFormat="1" applyFont="1" applyFill="1" applyAlignment="1">
      <alignment vertical="top"/>
    </xf>
    <xf numFmtId="0" fontId="64" fillId="0" borderId="0" xfId="0" applyFont="1"/>
    <xf numFmtId="0" fontId="65" fillId="0" borderId="0" xfId="0" applyFont="1" applyAlignment="1" applyProtection="1">
      <alignment vertical="top" readingOrder="1"/>
      <protection locked="0"/>
    </xf>
    <xf numFmtId="0" fontId="64" fillId="0" borderId="0" xfId="0" applyFont="1" applyAlignment="1">
      <alignment horizontal="right"/>
    </xf>
    <xf numFmtId="3" fontId="64" fillId="0" borderId="0" xfId="0" applyNumberFormat="1" applyFont="1" applyAlignment="1">
      <alignment horizontal="right" vertical="top" wrapText="1"/>
    </xf>
    <xf numFmtId="0" fontId="64" fillId="0" borderId="0" xfId="0" applyFont="1" applyAlignment="1">
      <alignment horizontal="right" vertical="top" wrapText="1"/>
    </xf>
    <xf numFmtId="0" fontId="64" fillId="0" borderId="0" xfId="0" applyFont="1" applyAlignment="1">
      <alignment vertical="center"/>
    </xf>
    <xf numFmtId="0" fontId="64" fillId="0" borderId="15" xfId="0" applyFont="1" applyBorder="1" applyAlignment="1">
      <alignment horizontal="right" vertical="top" wrapText="1"/>
    </xf>
    <xf numFmtId="0" fontId="67" fillId="0" borderId="0" xfId="0" applyFont="1"/>
    <xf numFmtId="0" fontId="64" fillId="0" borderId="0" xfId="0" applyFont="1" applyAlignment="1">
      <alignment horizontal="left"/>
    </xf>
    <xf numFmtId="0" fontId="64" fillId="0" borderId="27" xfId="0" applyFont="1" applyBorder="1" applyAlignment="1">
      <alignment horizontal="right"/>
    </xf>
    <xf numFmtId="0" fontId="66" fillId="0" borderId="0" xfId="0" applyFont="1"/>
    <xf numFmtId="0" fontId="68" fillId="2" borderId="0" xfId="0" applyFont="1" applyFill="1"/>
    <xf numFmtId="49" fontId="74" fillId="2" borderId="0" xfId="6" applyNumberFormat="1" applyFont="1" applyFill="1" applyAlignment="1" applyProtection="1">
      <alignment horizontal="left" vertical="top"/>
    </xf>
    <xf numFmtId="0" fontId="75" fillId="2" borderId="0" xfId="0" applyFont="1" applyFill="1" applyAlignment="1" applyProtection="1">
      <alignment vertical="top"/>
      <protection locked="0"/>
    </xf>
    <xf numFmtId="0" fontId="76" fillId="34" borderId="0" xfId="4" applyFont="1" applyFill="1"/>
    <xf numFmtId="0" fontId="77" fillId="2" borderId="0" xfId="60" applyFont="1" applyFill="1" applyAlignment="1" applyProtection="1">
      <alignment horizontal="left" vertical="top"/>
      <protection locked="0"/>
    </xf>
    <xf numFmtId="0" fontId="61" fillId="0" borderId="15" xfId="0" applyFont="1" applyBorder="1" applyAlignment="1">
      <alignment horizontal="right" vertical="top" wrapText="1"/>
    </xf>
    <xf numFmtId="0" fontId="18" fillId="0" borderId="0" xfId="53" applyFont="1"/>
    <xf numFmtId="0" fontId="47" fillId="2" borderId="0" xfId="0" applyFont="1" applyFill="1" applyAlignment="1" applyProtection="1">
      <alignment horizontal="left" vertical="top"/>
      <protection locked="0"/>
    </xf>
    <xf numFmtId="0" fontId="50" fillId="2" borderId="0" xfId="0" applyFont="1" applyFill="1" applyAlignment="1">
      <alignment horizontal="right" vertical="center" wrapText="1"/>
    </xf>
    <xf numFmtId="0" fontId="50" fillId="2" borderId="0" xfId="0" applyFont="1" applyFill="1" applyAlignment="1">
      <alignment horizontal="right" vertical="top" wrapText="1"/>
    </xf>
    <xf numFmtId="167" fontId="17" fillId="2" borderId="0" xfId="0" applyNumberFormat="1" applyFont="1" applyFill="1" applyAlignment="1">
      <alignment horizontal="left" vertical="center"/>
    </xf>
    <xf numFmtId="0" fontId="50" fillId="2" borderId="0" xfId="0" applyFont="1" applyFill="1" applyAlignment="1">
      <alignment horizontal="right"/>
    </xf>
    <xf numFmtId="0" fontId="50" fillId="0" borderId="0" xfId="0" applyFont="1" applyAlignment="1">
      <alignment horizontal="right" vertical="top"/>
    </xf>
    <xf numFmtId="0" fontId="18" fillId="2" borderId="0" xfId="0" applyFont="1" applyFill="1" applyAlignment="1">
      <alignment horizontal="right" vertical="top" wrapText="1"/>
    </xf>
    <xf numFmtId="165" fontId="18" fillId="0" borderId="20" xfId="0" applyNumberFormat="1" applyFont="1" applyBorder="1" applyAlignment="1">
      <alignment horizontal="right"/>
    </xf>
    <xf numFmtId="0" fontId="17" fillId="2" borderId="20" xfId="0" applyFont="1" applyFill="1" applyBorder="1" applyAlignment="1">
      <alignment horizontal="right"/>
    </xf>
    <xf numFmtId="0" fontId="25" fillId="2" borderId="11" xfId="3" applyFill="1" applyBorder="1" applyAlignment="1" applyProtection="1">
      <alignment vertical="top" wrapText="1" readingOrder="1"/>
      <protection locked="0"/>
    </xf>
    <xf numFmtId="0" fontId="17" fillId="2" borderId="0" xfId="7" applyFill="1">
      <alignment vertical="center"/>
    </xf>
    <xf numFmtId="0" fontId="61" fillId="0" borderId="0" xfId="0" applyFont="1" applyAlignment="1">
      <alignment horizontal="right" vertical="top" wrapText="1"/>
    </xf>
    <xf numFmtId="0" fontId="64" fillId="0" borderId="20" xfId="0" applyFont="1" applyBorder="1" applyAlignment="1">
      <alignment horizontal="right"/>
    </xf>
    <xf numFmtId="3" fontId="17" fillId="2" borderId="0" xfId="0" applyNumberFormat="1" applyFont="1" applyFill="1" applyAlignment="1">
      <alignment horizontal="right" vertical="top" wrapText="1"/>
    </xf>
    <xf numFmtId="3" fontId="17" fillId="0" borderId="0" xfId="53" applyNumberFormat="1" applyFont="1" applyAlignment="1">
      <alignment horizontal="right" vertical="top" wrapText="1"/>
    </xf>
    <xf numFmtId="0" fontId="17" fillId="0" borderId="0" xfId="53" applyFont="1" applyAlignment="1">
      <alignment horizontal="left"/>
    </xf>
    <xf numFmtId="3" fontId="17" fillId="0" borderId="15" xfId="53" applyNumberFormat="1" applyFont="1" applyBorder="1" applyAlignment="1">
      <alignment horizontal="right" vertical="top" wrapText="1"/>
    </xf>
    <xf numFmtId="0" fontId="61" fillId="0" borderId="0" xfId="0" applyFont="1" applyAlignment="1">
      <alignment horizontal="left"/>
    </xf>
    <xf numFmtId="0" fontId="61" fillId="2" borderId="0" xfId="0" applyFont="1" applyFill="1" applyAlignment="1">
      <alignment horizontal="left"/>
    </xf>
    <xf numFmtId="0" fontId="18" fillId="0" borderId="0" xfId="0" applyFont="1" applyAlignment="1" applyProtection="1">
      <alignment horizontal="left" vertical="top" readingOrder="1"/>
      <protection locked="0"/>
    </xf>
    <xf numFmtId="165" fontId="28" fillId="0" borderId="0" xfId="106" applyNumberFormat="1" applyFont="1" applyAlignment="1">
      <alignment horizontal="right"/>
    </xf>
    <xf numFmtId="165" fontId="28" fillId="0" borderId="0" xfId="106" applyNumberFormat="1" applyFont="1" applyAlignment="1">
      <alignment horizontal="left"/>
    </xf>
    <xf numFmtId="0" fontId="8" fillId="0" borderId="0" xfId="108"/>
    <xf numFmtId="0" fontId="24" fillId="2" borderId="0" xfId="107" applyFont="1" applyFill="1"/>
    <xf numFmtId="0" fontId="19" fillId="2" borderId="0" xfId="107" applyFont="1" applyFill="1" applyAlignment="1" applyProtection="1">
      <alignment horizontal="left" vertical="top" wrapText="1" readingOrder="1"/>
      <protection locked="0"/>
    </xf>
    <xf numFmtId="0" fontId="81" fillId="2" borderId="0" xfId="107" applyFont="1" applyFill="1" applyAlignment="1">
      <alignment horizontal="right"/>
    </xf>
    <xf numFmtId="0" fontId="21" fillId="2" borderId="0" xfId="107" applyFont="1" applyFill="1" applyAlignment="1" applyProtection="1">
      <alignment vertical="top" readingOrder="1"/>
      <protection locked="0"/>
    </xf>
    <xf numFmtId="0" fontId="21" fillId="2" borderId="0" xfId="107" applyFont="1" applyFill="1" applyAlignment="1" applyProtection="1">
      <alignment horizontal="left" vertical="top" readingOrder="1"/>
      <protection locked="0"/>
    </xf>
    <xf numFmtId="0" fontId="17" fillId="2" borderId="0" xfId="107" applyFont="1" applyFill="1"/>
    <xf numFmtId="0" fontId="16" fillId="0" borderId="0" xfId="107"/>
    <xf numFmtId="0" fontId="17" fillId="2" borderId="20" xfId="107" applyFont="1" applyFill="1" applyBorder="1"/>
    <xf numFmtId="0" fontId="22" fillId="2" borderId="20" xfId="107" applyFont="1" applyFill="1" applyBorder="1" applyAlignment="1" applyProtection="1">
      <alignment horizontal="left" vertical="top" wrapText="1" readingOrder="1"/>
      <protection locked="0"/>
    </xf>
    <xf numFmtId="0" fontId="29" fillId="0" borderId="20" xfId="108" applyFont="1" applyBorder="1" applyAlignment="1">
      <alignment horizontal="right" vertical="top"/>
    </xf>
    <xf numFmtId="0" fontId="20" fillId="2" borderId="0" xfId="107" applyFont="1" applyFill="1" applyAlignment="1">
      <alignment horizontal="right"/>
    </xf>
    <xf numFmtId="0" fontId="23" fillId="0" borderId="0" xfId="108" applyFont="1"/>
    <xf numFmtId="0" fontId="22" fillId="2" borderId="0" xfId="107" applyFont="1" applyFill="1" applyAlignment="1" applyProtection="1">
      <alignment vertical="top" wrapText="1" readingOrder="1"/>
      <protection locked="0"/>
    </xf>
    <xf numFmtId="0" fontId="21" fillId="2" borderId="20" xfId="107" applyFont="1" applyFill="1" applyBorder="1" applyAlignment="1" applyProtection="1">
      <alignment vertical="top" wrapText="1" readingOrder="1"/>
      <protection locked="0"/>
    </xf>
    <xf numFmtId="0" fontId="23" fillId="0" borderId="20" xfId="108" applyFont="1" applyBorder="1"/>
    <xf numFmtId="0" fontId="21" fillId="2" borderId="0" xfId="107" applyFont="1" applyFill="1" applyAlignment="1" applyProtection="1">
      <alignment vertical="top" wrapText="1" readingOrder="1"/>
      <protection locked="0"/>
    </xf>
    <xf numFmtId="0" fontId="22" fillId="2" borderId="0" xfId="107" applyFont="1" applyFill="1" applyAlignment="1" applyProtection="1">
      <alignment horizontal="left" vertical="top" wrapText="1" readingOrder="1"/>
      <protection locked="0"/>
    </xf>
    <xf numFmtId="3" fontId="29" fillId="0" borderId="0" xfId="109" applyNumberFormat="1" applyFont="1"/>
    <xf numFmtId="3" fontId="23" fillId="0" borderId="0" xfId="108" applyNumberFormat="1" applyFont="1"/>
    <xf numFmtId="3" fontId="29" fillId="0" borderId="0" xfId="108" applyNumberFormat="1" applyFont="1"/>
    <xf numFmtId="3" fontId="23" fillId="0" borderId="0" xfId="109" applyNumberFormat="1" applyFont="1"/>
    <xf numFmtId="0" fontId="23" fillId="0" borderId="0" xfId="108" applyFont="1" applyAlignment="1">
      <alignment horizontal="left"/>
    </xf>
    <xf numFmtId="3" fontId="23" fillId="0" borderId="0" xfId="108" applyNumberFormat="1" applyFont="1" applyAlignment="1">
      <alignment horizontal="right"/>
    </xf>
    <xf numFmtId="3" fontId="29" fillId="0" borderId="0" xfId="108" applyNumberFormat="1" applyFont="1" applyAlignment="1">
      <alignment horizontal="right"/>
    </xf>
    <xf numFmtId="0" fontId="22" fillId="2" borderId="0" xfId="107" applyFont="1" applyFill="1" applyAlignment="1" applyProtection="1">
      <alignment vertical="top" readingOrder="1"/>
      <protection locked="0"/>
    </xf>
    <xf numFmtId="0" fontId="67" fillId="0" borderId="0" xfId="107" applyFont="1"/>
    <xf numFmtId="0" fontId="17" fillId="2" borderId="0" xfId="107" applyFont="1" applyFill="1" applyAlignment="1" applyProtection="1">
      <alignment vertical="top" wrapText="1" readingOrder="1"/>
      <protection locked="0"/>
    </xf>
    <xf numFmtId="0" fontId="17" fillId="2" borderId="0" xfId="107" applyFont="1" applyFill="1" applyAlignment="1" applyProtection="1">
      <alignment vertical="top" wrapText="1"/>
      <protection locked="0"/>
    </xf>
    <xf numFmtId="0" fontId="18" fillId="2" borderId="0" xfId="103" applyFont="1" applyFill="1" applyAlignment="1">
      <alignment horizontal="left"/>
    </xf>
    <xf numFmtId="0" fontId="17" fillId="0" borderId="0" xfId="79" applyAlignment="1">
      <alignment horizontal="left"/>
    </xf>
    <xf numFmtId="3" fontId="17" fillId="2" borderId="12" xfId="0" applyNumberFormat="1" applyFont="1" applyFill="1" applyBorder="1" applyAlignment="1">
      <alignment horizontal="right" vertical="top" wrapText="1"/>
    </xf>
    <xf numFmtId="9" fontId="23" fillId="0" borderId="0" xfId="8" applyFont="1"/>
    <xf numFmtId="166" fontId="23" fillId="0" borderId="0" xfId="8" applyNumberFormat="1" applyFont="1"/>
    <xf numFmtId="165" fontId="24" fillId="0" borderId="0" xfId="2" applyNumberFormat="1" applyFont="1" applyAlignment="1">
      <alignment horizontal="right"/>
    </xf>
    <xf numFmtId="0" fontId="8" fillId="2" borderId="0" xfId="0" applyFont="1" applyFill="1"/>
    <xf numFmtId="0" fontId="16" fillId="2" borderId="0" xfId="0" applyFont="1" applyFill="1"/>
    <xf numFmtId="0" fontId="65" fillId="2" borderId="0" xfId="0" applyFont="1" applyFill="1" applyAlignment="1" applyProtection="1">
      <alignment horizontal="left" vertical="top" wrapText="1" readingOrder="1"/>
      <protection locked="0"/>
    </xf>
    <xf numFmtId="0" fontId="18" fillId="2" borderId="0" xfId="9" applyFont="1" applyFill="1"/>
    <xf numFmtId="0" fontId="25" fillId="2" borderId="0" xfId="3" applyFill="1" applyAlignment="1" applyProtection="1">
      <alignment horizontal="left" vertical="top" wrapText="1" readingOrder="1"/>
      <protection locked="0"/>
    </xf>
    <xf numFmtId="0" fontId="18" fillId="2" borderId="0" xfId="4" applyFont="1" applyFill="1"/>
    <xf numFmtId="0" fontId="17" fillId="2" borderId="0" xfId="4" applyFont="1" applyFill="1"/>
    <xf numFmtId="0" fontId="29" fillId="2" borderId="0" xfId="0" applyFont="1" applyFill="1"/>
    <xf numFmtId="0" fontId="17" fillId="2" borderId="0" xfId="5" applyFill="1" applyAlignment="1">
      <alignment horizontal="left" vertical="top" wrapText="1"/>
    </xf>
    <xf numFmtId="0" fontId="18" fillId="2" borderId="0" xfId="7" applyFont="1" applyFill="1">
      <alignment vertical="center"/>
    </xf>
    <xf numFmtId="0" fontId="17" fillId="34" borderId="0" xfId="5" applyFill="1" applyAlignment="1"/>
    <xf numFmtId="0" fontId="17" fillId="34" borderId="0" xfId="4" applyFont="1" applyFill="1"/>
    <xf numFmtId="0" fontId="47" fillId="2" borderId="0" xfId="0" applyFont="1" applyFill="1" applyAlignment="1" applyProtection="1">
      <alignment vertical="top"/>
      <protection locked="0"/>
    </xf>
    <xf numFmtId="3" fontId="17" fillId="2" borderId="0" xfId="0" applyNumberFormat="1" applyFont="1" applyFill="1" applyAlignment="1">
      <alignment wrapText="1"/>
    </xf>
    <xf numFmtId="3" fontId="17" fillId="2" borderId="0" xfId="0" applyNumberFormat="1" applyFont="1" applyFill="1" applyAlignment="1">
      <alignment horizontal="right" vertical="center" wrapText="1"/>
    </xf>
    <xf numFmtId="3" fontId="17" fillId="0" borderId="0" xfId="85" applyNumberFormat="1" applyAlignment="1">
      <alignment horizontal="right" vertical="center" wrapText="1"/>
    </xf>
    <xf numFmtId="0" fontId="19" fillId="0" borderId="0" xfId="0" applyFont="1" applyAlignment="1" applyProtection="1">
      <alignment vertical="top" readingOrder="1"/>
      <protection locked="0"/>
    </xf>
    <xf numFmtId="0" fontId="17" fillId="0" borderId="20" xfId="0" applyFont="1" applyBorder="1" applyAlignment="1" applyProtection="1">
      <alignment horizontal="left" vertical="top" readingOrder="1"/>
      <protection locked="0"/>
    </xf>
    <xf numFmtId="0" fontId="17" fillId="0" borderId="20" xfId="0" applyFont="1" applyBorder="1" applyAlignment="1" applyProtection="1">
      <alignment horizontal="left" vertical="top" wrapText="1" readingOrder="1"/>
      <protection locked="0"/>
    </xf>
    <xf numFmtId="0" fontId="17" fillId="0" borderId="20" xfId="0" applyFont="1" applyBorder="1" applyAlignment="1" applyProtection="1">
      <alignment horizontal="right" vertical="top" wrapText="1"/>
      <protection locked="0"/>
    </xf>
    <xf numFmtId="0" fontId="17" fillId="0" borderId="20" xfId="53" applyFont="1" applyBorder="1"/>
    <xf numFmtId="3" fontId="18" fillId="0" borderId="20" xfId="53" applyNumberFormat="1" applyFont="1" applyBorder="1" applyAlignment="1">
      <alignment horizontal="center"/>
    </xf>
    <xf numFmtId="3" fontId="18" fillId="0" borderId="20" xfId="53" applyNumberFormat="1" applyFont="1" applyBorder="1"/>
    <xf numFmtId="1" fontId="18" fillId="0" borderId="25" xfId="53" applyNumberFormat="1" applyFont="1" applyBorder="1" applyAlignment="1">
      <alignment horizontal="right"/>
    </xf>
    <xf numFmtId="1" fontId="18" fillId="0" borderId="28" xfId="53" applyNumberFormat="1" applyFont="1" applyBorder="1" applyAlignment="1">
      <alignment horizontal="right"/>
    </xf>
    <xf numFmtId="0" fontId="61" fillId="0" borderId="0" xfId="0" applyFont="1"/>
    <xf numFmtId="0" fontId="61" fillId="0" borderId="26" xfId="0" applyFont="1" applyBorder="1" applyAlignment="1">
      <alignment horizontal="right"/>
    </xf>
    <xf numFmtId="0" fontId="61" fillId="0" borderId="0" xfId="0" applyFont="1" applyAlignment="1">
      <alignment horizontal="right"/>
    </xf>
    <xf numFmtId="0" fontId="50" fillId="0" borderId="0" xfId="0" applyFont="1" applyAlignment="1" applyProtection="1">
      <alignment horizontal="right" vertical="top" wrapText="1" readingOrder="1"/>
      <protection locked="0"/>
    </xf>
    <xf numFmtId="0" fontId="50" fillId="0" borderId="15" xfId="0" applyFont="1" applyBorder="1" applyAlignment="1">
      <alignment horizontal="right" vertical="top" wrapText="1"/>
    </xf>
    <xf numFmtId="0" fontId="50" fillId="0" borderId="0" xfId="0" applyFont="1" applyAlignment="1">
      <alignment horizontal="right" vertical="top" wrapText="1"/>
    </xf>
    <xf numFmtId="0" fontId="50" fillId="0" borderId="0" xfId="0" applyFont="1" applyAlignment="1">
      <alignment vertical="top"/>
    </xf>
    <xf numFmtId="0" fontId="61" fillId="0" borderId="15" xfId="0" applyFont="1" applyBorder="1" applyAlignment="1">
      <alignment horizontal="right"/>
    </xf>
    <xf numFmtId="0" fontId="17" fillId="0" borderId="0" xfId="53" applyFont="1"/>
    <xf numFmtId="3" fontId="61" fillId="0" borderId="15" xfId="0" applyNumberFormat="1" applyFont="1" applyBorder="1" applyAlignment="1">
      <alignment horizontal="right" vertical="top" wrapText="1"/>
    </xf>
    <xf numFmtId="3" fontId="61" fillId="0" borderId="0" xfId="0" applyNumberFormat="1" applyFont="1" applyAlignment="1">
      <alignment horizontal="right" vertical="top" wrapText="1"/>
    </xf>
    <xf numFmtId="0" fontId="17" fillId="0" borderId="0" xfId="53" applyFont="1" applyAlignment="1">
      <alignment horizontal="right" vertical="top" wrapText="1"/>
    </xf>
    <xf numFmtId="3" fontId="61" fillId="0" borderId="0" xfId="0" applyNumberFormat="1" applyFont="1" applyAlignment="1">
      <alignment horizontal="right" wrapText="1"/>
    </xf>
    <xf numFmtId="0" fontId="17" fillId="0" borderId="15" xfId="53" applyFont="1" applyBorder="1" applyAlignment="1">
      <alignment horizontal="right" vertical="top" wrapText="1"/>
    </xf>
    <xf numFmtId="0" fontId="17" fillId="2" borderId="0" xfId="53" applyFont="1" applyFill="1" applyAlignment="1">
      <alignment horizontal="left"/>
    </xf>
    <xf numFmtId="0" fontId="23" fillId="0" borderId="0" xfId="0" applyFont="1" applyAlignment="1">
      <alignment horizontal="left"/>
    </xf>
    <xf numFmtId="2" fontId="17" fillId="0" borderId="15" xfId="53" applyNumberFormat="1" applyFont="1" applyBorder="1" applyAlignment="1">
      <alignment horizontal="right" vertical="top" wrapText="1"/>
    </xf>
    <xf numFmtId="2" fontId="17" fillId="0" borderId="0" xfId="53" applyNumberFormat="1" applyFont="1" applyAlignment="1">
      <alignment horizontal="right" vertical="top" wrapText="1"/>
    </xf>
    <xf numFmtId="3" fontId="17" fillId="0" borderId="0" xfId="1" applyNumberFormat="1" applyFont="1" applyAlignment="1">
      <alignment horizontal="left"/>
    </xf>
    <xf numFmtId="0" fontId="17" fillId="0" borderId="0" xfId="0" applyFont="1" applyAlignment="1">
      <alignment horizontal="right" vertical="top" wrapText="1"/>
    </xf>
    <xf numFmtId="0" fontId="61" fillId="0" borderId="20" xfId="0" applyFont="1" applyBorder="1"/>
    <xf numFmtId="3" fontId="17" fillId="0" borderId="27" xfId="53" applyNumberFormat="1" applyFont="1" applyBorder="1" applyAlignment="1">
      <alignment horizontal="right"/>
    </xf>
    <xf numFmtId="3" fontId="17" fillId="0" borderId="20" xfId="53" applyNumberFormat="1" applyFont="1" applyBorder="1" applyAlignment="1">
      <alignment horizontal="right"/>
    </xf>
    <xf numFmtId="3" fontId="17" fillId="0" borderId="20" xfId="1" applyNumberFormat="1" applyFont="1" applyBorder="1" applyAlignment="1">
      <alignment horizontal="right"/>
    </xf>
    <xf numFmtId="0" fontId="17" fillId="0" borderId="20" xfId="0" applyFont="1" applyBorder="1"/>
    <xf numFmtId="0" fontId="17" fillId="0" borderId="0" xfId="0" applyFont="1" applyAlignment="1" applyProtection="1">
      <alignment vertical="top" wrapText="1" readingOrder="1"/>
      <protection locked="0"/>
    </xf>
    <xf numFmtId="3" fontId="17" fillId="0" borderId="0" xfId="53" applyNumberFormat="1" applyFont="1" applyAlignment="1">
      <alignment horizontal="right"/>
    </xf>
    <xf numFmtId="0" fontId="17" fillId="0" borderId="0" xfId="0" applyFont="1" applyAlignment="1">
      <alignment horizontal="right"/>
    </xf>
    <xf numFmtId="0" fontId="18" fillId="0" borderId="0" xfId="0" applyFont="1" applyAlignment="1" applyProtection="1">
      <alignment horizontal="left" vertical="top" wrapText="1" readingOrder="1"/>
      <protection locked="0"/>
    </xf>
    <xf numFmtId="0" fontId="17" fillId="0" borderId="0" xfId="0" applyFont="1" applyAlignment="1" applyProtection="1">
      <alignment vertical="top" wrapText="1"/>
      <protection locked="0"/>
    </xf>
    <xf numFmtId="0" fontId="17" fillId="0" borderId="0" xfId="0" applyFont="1" applyAlignment="1" applyProtection="1">
      <alignment vertical="top" readingOrder="1"/>
      <protection locked="0"/>
    </xf>
    <xf numFmtId="0" fontId="17" fillId="0" borderId="0" xfId="0" applyFont="1" applyAlignment="1">
      <alignment readingOrder="1"/>
    </xf>
    <xf numFmtId="3" fontId="17" fillId="0" borderId="0" xfId="1" applyNumberFormat="1" applyFont="1" applyAlignment="1">
      <alignment horizontal="right"/>
    </xf>
    <xf numFmtId="0" fontId="17" fillId="0" borderId="0" xfId="0" applyFont="1" applyAlignment="1" applyProtection="1">
      <alignment wrapText="1" readingOrder="1"/>
      <protection locked="0"/>
    </xf>
    <xf numFmtId="165" fontId="17" fillId="0" borderId="0" xfId="1" applyNumberFormat="1" applyFont="1" applyAlignment="1">
      <alignment horizontal="right"/>
    </xf>
    <xf numFmtId="169" fontId="17" fillId="2" borderId="0" xfId="0" applyNumberFormat="1" applyFont="1" applyFill="1"/>
    <xf numFmtId="0" fontId="22" fillId="2" borderId="0" xfId="107" applyFont="1" applyFill="1" applyAlignment="1" applyProtection="1">
      <alignment vertical="top"/>
      <protection locked="0"/>
    </xf>
    <xf numFmtId="0" fontId="29" fillId="0" borderId="0" xfId="108" applyFont="1" applyAlignment="1">
      <alignment horizontal="right" vertical="top" wrapText="1"/>
    </xf>
    <xf numFmtId="0" fontId="29" fillId="0" borderId="0" xfId="108" applyFont="1" applyAlignment="1">
      <alignment horizontal="right" vertical="top"/>
    </xf>
    <xf numFmtId="3" fontId="21" fillId="2" borderId="0" xfId="0" applyNumberFormat="1" applyFont="1" applyFill="1" applyAlignment="1" applyProtection="1">
      <alignment horizontal="right" vertical="top" wrapText="1" readingOrder="1"/>
      <protection locked="0"/>
    </xf>
    <xf numFmtId="167" fontId="17" fillId="36" borderId="0" xfId="0" applyNumberFormat="1" applyFont="1" applyFill="1" applyAlignment="1">
      <alignment horizontal="right"/>
    </xf>
    <xf numFmtId="3" fontId="29" fillId="2" borderId="0" xfId="0" applyNumberFormat="1" applyFont="1" applyFill="1" applyAlignment="1">
      <alignment horizontal="left" vertical="top" wrapText="1"/>
    </xf>
    <xf numFmtId="165" fontId="17" fillId="2" borderId="0" xfId="0" applyNumberFormat="1" applyFont="1" applyFill="1" applyAlignment="1">
      <alignment horizontal="left" vertical="top"/>
    </xf>
    <xf numFmtId="0" fontId="17" fillId="2" borderId="0" xfId="0" applyFont="1" applyFill="1" applyAlignment="1">
      <alignment horizontal="left"/>
    </xf>
    <xf numFmtId="0" fontId="17" fillId="0" borderId="0" xfId="0" applyFont="1" applyAlignment="1">
      <alignment horizontal="left"/>
    </xf>
    <xf numFmtId="0" fontId="50" fillId="0" borderId="0" xfId="0" applyFont="1" applyAlignment="1">
      <alignment horizontal="left"/>
    </xf>
    <xf numFmtId="165" fontId="17" fillId="2" borderId="0" xfId="0" applyNumberFormat="1" applyFont="1" applyFill="1" applyAlignment="1">
      <alignment horizontal="left"/>
    </xf>
    <xf numFmtId="165" fontId="18" fillId="2" borderId="0" xfId="1" applyNumberFormat="1" applyFont="1" applyFill="1" applyAlignment="1">
      <alignment horizontal="right" vertical="top"/>
    </xf>
    <xf numFmtId="165" fontId="0" fillId="2" borderId="0" xfId="0" applyNumberFormat="1" applyFill="1" applyAlignment="1">
      <alignment horizontal="right" vertical="top" readingOrder="1"/>
    </xf>
    <xf numFmtId="3" fontId="18" fillId="0" borderId="0" xfId="53" applyNumberFormat="1" applyFont="1" applyAlignment="1">
      <alignment horizontal="right" vertical="top" wrapText="1"/>
    </xf>
    <xf numFmtId="3" fontId="60" fillId="0" borderId="15" xfId="0" applyNumberFormat="1" applyFont="1" applyBorder="1" applyAlignment="1">
      <alignment horizontal="right" vertical="top" wrapText="1"/>
    </xf>
    <xf numFmtId="3" fontId="60" fillId="0" borderId="0" xfId="0" applyNumberFormat="1" applyFont="1" applyAlignment="1">
      <alignment horizontal="right" vertical="top" wrapText="1"/>
    </xf>
    <xf numFmtId="3" fontId="85" fillId="0" borderId="0" xfId="0" applyNumberFormat="1" applyFont="1" applyAlignment="1">
      <alignment horizontal="right" vertical="top" wrapText="1"/>
    </xf>
    <xf numFmtId="3" fontId="18" fillId="0" borderId="15" xfId="53" applyNumberFormat="1" applyFont="1" applyBorder="1" applyAlignment="1">
      <alignment horizontal="right" vertical="top" wrapText="1"/>
    </xf>
    <xf numFmtId="0" fontId="18" fillId="0" borderId="0" xfId="53" applyFont="1" applyAlignment="1">
      <alignment horizontal="right" vertical="top" wrapText="1"/>
    </xf>
    <xf numFmtId="164" fontId="18" fillId="0" borderId="0" xfId="0" applyNumberFormat="1" applyFont="1" applyAlignment="1" applyProtection="1">
      <alignment vertical="top" wrapText="1" readingOrder="1"/>
      <protection locked="0"/>
    </xf>
    <xf numFmtId="165" fontId="17" fillId="0" borderId="0" xfId="0" applyNumberFormat="1" applyFont="1" applyAlignment="1" applyProtection="1">
      <alignment horizontal="right" vertical="top" wrapText="1" readingOrder="1"/>
      <protection locked="0"/>
    </xf>
    <xf numFmtId="165" fontId="17" fillId="0" borderId="0" xfId="0" applyNumberFormat="1" applyFont="1" applyAlignment="1">
      <alignment horizontal="right" vertical="top" wrapText="1"/>
    </xf>
    <xf numFmtId="165" fontId="18" fillId="0" borderId="0" xfId="0" applyNumberFormat="1" applyFont="1" applyAlignment="1">
      <alignment horizontal="right" vertical="top" wrapText="1"/>
    </xf>
    <xf numFmtId="3" fontId="23" fillId="0" borderId="0" xfId="0" applyNumberFormat="1" applyFont="1" applyAlignment="1">
      <alignment vertical="top" wrapText="1"/>
    </xf>
    <xf numFmtId="165" fontId="21" fillId="2" borderId="0" xfId="1" applyNumberFormat="1" applyFont="1" applyFill="1" applyAlignment="1" applyProtection="1">
      <alignment horizontal="right" vertical="center" wrapText="1" readingOrder="1"/>
      <protection locked="0"/>
    </xf>
    <xf numFmtId="171" fontId="17" fillId="2" borderId="0" xfId="0" applyNumberFormat="1" applyFont="1" applyFill="1"/>
    <xf numFmtId="0" fontId="22" fillId="2" borderId="11" xfId="0" applyFont="1" applyFill="1" applyBorder="1" applyAlignment="1" applyProtection="1">
      <alignment horizontal="left" vertical="top" wrapText="1" readingOrder="1"/>
      <protection locked="0"/>
    </xf>
    <xf numFmtId="0" fontId="47" fillId="2" borderId="0" xfId="0" applyFont="1" applyFill="1" applyAlignment="1" applyProtection="1">
      <alignment vertical="top" wrapText="1"/>
      <protection locked="0"/>
    </xf>
    <xf numFmtId="0" fontId="21" fillId="2" borderId="0" xfId="0" applyFont="1" applyFill="1" applyAlignment="1" applyProtection="1">
      <alignment horizontal="left" vertical="top" wrapText="1" readingOrder="1"/>
      <protection locked="0"/>
    </xf>
    <xf numFmtId="0" fontId="22" fillId="2" borderId="0" xfId="0" applyFont="1" applyFill="1" applyAlignment="1" applyProtection="1">
      <alignment horizontal="left" vertical="top" wrapText="1"/>
      <protection locked="0"/>
    </xf>
    <xf numFmtId="0" fontId="19" fillId="2" borderId="0" xfId="0" applyFont="1" applyFill="1" applyAlignment="1" applyProtection="1">
      <alignment horizontal="left" vertical="top" wrapText="1" readingOrder="1"/>
      <protection locked="0"/>
    </xf>
    <xf numFmtId="0" fontId="22" fillId="2" borderId="0" xfId="0" applyFont="1" applyFill="1" applyAlignment="1" applyProtection="1">
      <alignment horizontal="left" vertical="top" wrapText="1" readingOrder="1"/>
      <protection locked="0"/>
    </xf>
    <xf numFmtId="0" fontId="21" fillId="2" borderId="0" xfId="0" applyFont="1" applyFill="1" applyAlignment="1" applyProtection="1">
      <alignment vertical="top" wrapText="1" readingOrder="1"/>
      <protection locked="0"/>
    </xf>
    <xf numFmtId="0" fontId="51" fillId="2" borderId="0" xfId="0" applyFont="1" applyFill="1" applyAlignment="1" applyProtection="1">
      <alignment horizontal="left" vertical="top" wrapText="1" readingOrder="1"/>
      <protection locked="0"/>
    </xf>
    <xf numFmtId="0" fontId="17" fillId="0" borderId="0" xfId="0" applyFont="1" applyAlignment="1" applyProtection="1">
      <alignment horizontal="left" vertical="top" readingOrder="1"/>
      <protection locked="0"/>
    </xf>
    <xf numFmtId="0" fontId="21" fillId="2" borderId="0" xfId="107" applyFont="1" applyFill="1" applyAlignment="1" applyProtection="1">
      <alignment horizontal="left" vertical="top" wrapText="1" readingOrder="1"/>
      <protection locked="0"/>
    </xf>
    <xf numFmtId="166" fontId="17" fillId="2" borderId="0" xfId="8" applyNumberFormat="1" applyFont="1" applyFill="1"/>
    <xf numFmtId="0" fontId="87" fillId="2" borderId="0" xfId="0" applyFont="1" applyFill="1"/>
    <xf numFmtId="165" fontId="23" fillId="2" borderId="0" xfId="0" applyNumberFormat="1" applyFont="1" applyFill="1"/>
    <xf numFmtId="165" fontId="18" fillId="0" borderId="0" xfId="0" applyNumberFormat="1" applyFont="1" applyAlignment="1" applyProtection="1">
      <alignment horizontal="right" vertical="top" wrapText="1" readingOrder="1"/>
      <protection locked="0"/>
    </xf>
    <xf numFmtId="0" fontId="17" fillId="0" borderId="0" xfId="0" applyFont="1" applyAlignment="1" applyProtection="1">
      <alignment horizontal="left" vertical="top" wrapText="1" readingOrder="1"/>
      <protection locked="0"/>
    </xf>
    <xf numFmtId="165" fontId="17" fillId="0" borderId="0" xfId="0" applyNumberFormat="1" applyFont="1" applyAlignment="1">
      <alignment horizontal="left" vertical="top"/>
    </xf>
    <xf numFmtId="167" fontId="18" fillId="2" borderId="0" xfId="1" applyNumberFormat="1" applyFont="1" applyFill="1" applyAlignment="1">
      <alignment horizontal="right" vertical="top"/>
    </xf>
    <xf numFmtId="0" fontId="89" fillId="2" borderId="0" xfId="0" applyFont="1" applyFill="1"/>
    <xf numFmtId="172" fontId="17" fillId="2" borderId="0" xfId="0" applyNumberFormat="1" applyFont="1" applyFill="1"/>
    <xf numFmtId="0" fontId="18" fillId="2" borderId="0" xfId="0" applyFont="1" applyFill="1" applyAlignment="1">
      <alignment horizontal="left" vertical="center" wrapText="1"/>
    </xf>
    <xf numFmtId="0" fontId="18" fillId="2" borderId="0" xfId="0" applyFont="1" applyFill="1" applyAlignment="1">
      <alignment horizontal="right" vertical="center" wrapText="1"/>
    </xf>
    <xf numFmtId="0" fontId="17" fillId="2" borderId="0" xfId="0" applyFont="1" applyFill="1" applyAlignment="1">
      <alignment horizontal="right" vertical="center" wrapText="1"/>
    </xf>
    <xf numFmtId="0" fontId="18" fillId="2" borderId="20" xfId="0" applyFont="1" applyFill="1" applyBorder="1" applyAlignment="1">
      <alignment horizontal="left" vertical="center" wrapText="1"/>
    </xf>
    <xf numFmtId="0" fontId="18" fillId="2" borderId="20" xfId="0" applyFont="1" applyFill="1" applyBorder="1" applyAlignment="1">
      <alignment horizontal="right" vertical="center" wrapText="1"/>
    </xf>
    <xf numFmtId="0" fontId="17" fillId="2" borderId="20" xfId="0" applyFont="1" applyFill="1" applyBorder="1" applyAlignment="1">
      <alignment horizontal="right" vertical="center" wrapText="1"/>
    </xf>
    <xf numFmtId="0" fontId="23" fillId="2" borderId="20" xfId="10" applyFont="1" applyFill="1" applyBorder="1" applyAlignment="1">
      <alignment horizontal="left" indent="2"/>
    </xf>
    <xf numFmtId="0" fontId="17" fillId="2" borderId="0" xfId="0" applyFont="1" applyFill="1" applyAlignment="1">
      <alignment horizontal="center" vertical="center" wrapText="1"/>
    </xf>
    <xf numFmtId="3" fontId="29" fillId="0" borderId="0" xfId="0" applyNumberFormat="1" applyFont="1" applyAlignment="1">
      <alignment vertical="top" wrapText="1"/>
    </xf>
    <xf numFmtId="3" fontId="23" fillId="0" borderId="20" xfId="108" applyNumberFormat="1" applyFont="1" applyBorder="1"/>
    <xf numFmtId="0" fontId="25" fillId="2" borderId="0" xfId="3" applyFill="1" applyAlignment="1" applyProtection="1">
      <alignment vertical="top" readingOrder="1"/>
      <protection locked="0"/>
    </xf>
    <xf numFmtId="165" fontId="91" fillId="0" borderId="0" xfId="2" applyNumberFormat="1" applyFont="1" applyAlignment="1">
      <alignment horizontal="right"/>
    </xf>
    <xf numFmtId="3" fontId="29" fillId="0" borderId="33" xfId="109" applyNumberFormat="1" applyFont="1" applyBorder="1"/>
    <xf numFmtId="3" fontId="29" fillId="0" borderId="33" xfId="108" applyNumberFormat="1" applyFont="1" applyBorder="1"/>
    <xf numFmtId="3" fontId="23" fillId="0" borderId="33" xfId="109" applyNumberFormat="1" applyFont="1" applyBorder="1"/>
    <xf numFmtId="3" fontId="23" fillId="0" borderId="33" xfId="108" applyNumberFormat="1" applyFont="1" applyBorder="1"/>
    <xf numFmtId="3" fontId="23" fillId="0" borderId="33" xfId="108" applyNumberFormat="1" applyFont="1" applyBorder="1" applyAlignment="1">
      <alignment horizontal="right"/>
    </xf>
    <xf numFmtId="165" fontId="20" fillId="2" borderId="30" xfId="0" applyNumberFormat="1" applyFont="1" applyFill="1" applyBorder="1" applyAlignment="1">
      <alignment horizontal="right" vertical="top" wrapText="1"/>
    </xf>
    <xf numFmtId="165" fontId="20" fillId="2" borderId="0" xfId="0" applyNumberFormat="1" applyFont="1" applyFill="1" applyAlignment="1">
      <alignment horizontal="right" vertical="top" wrapText="1"/>
    </xf>
    <xf numFmtId="0" fontId="51" fillId="2" borderId="0" xfId="0" applyFont="1" applyFill="1" applyAlignment="1" applyProtection="1">
      <alignment vertical="top" readingOrder="1"/>
      <protection locked="0"/>
    </xf>
    <xf numFmtId="3" fontId="17" fillId="2" borderId="0" xfId="0" applyNumberFormat="1" applyFont="1" applyFill="1" applyAlignment="1" applyProtection="1">
      <alignment vertical="top" wrapText="1"/>
      <protection locked="0"/>
    </xf>
    <xf numFmtId="0" fontId="21" fillId="2" borderId="33" xfId="0" applyFont="1" applyFill="1" applyBorder="1" applyAlignment="1" applyProtection="1">
      <alignment vertical="top" wrapText="1" readingOrder="1"/>
      <protection locked="0"/>
    </xf>
    <xf numFmtId="0" fontId="17" fillId="0" borderId="33" xfId="53" applyFont="1" applyBorder="1"/>
    <xf numFmtId="1" fontId="18" fillId="0" borderId="33" xfId="53" applyNumberFormat="1" applyFont="1" applyBorder="1" applyAlignment="1">
      <alignment horizontal="right"/>
    </xf>
    <xf numFmtId="1" fontId="18" fillId="0" borderId="33" xfId="53" applyNumberFormat="1" applyFont="1" applyBorder="1"/>
    <xf numFmtId="0" fontId="22" fillId="2" borderId="33" xfId="107" applyFont="1" applyFill="1" applyBorder="1" applyAlignment="1" applyProtection="1">
      <alignment horizontal="left" vertical="top" wrapText="1" readingOrder="1"/>
      <protection locked="0"/>
    </xf>
    <xf numFmtId="0" fontId="21" fillId="2" borderId="33" xfId="107" applyFont="1" applyFill="1" applyBorder="1" applyAlignment="1" applyProtection="1">
      <alignment horizontal="left" vertical="top" wrapText="1" readingOrder="1"/>
      <protection locked="0"/>
    </xf>
    <xf numFmtId="0" fontId="22" fillId="2" borderId="0" xfId="0" applyFont="1" applyFill="1" applyAlignment="1" applyProtection="1">
      <alignment horizontal="center" wrapText="1" readingOrder="1"/>
      <protection locked="0"/>
    </xf>
    <xf numFmtId="0" fontId="18" fillId="2" borderId="0" xfId="0" applyFont="1" applyFill="1" applyAlignment="1">
      <alignment horizontal="center"/>
    </xf>
    <xf numFmtId="3" fontId="29" fillId="0" borderId="0" xfId="0" applyNumberFormat="1" applyFont="1" applyAlignment="1">
      <alignment horizontal="right" vertical="top"/>
    </xf>
    <xf numFmtId="3" fontId="29" fillId="0" borderId="0" xfId="0" applyNumberFormat="1" applyFont="1" applyAlignment="1">
      <alignment horizontal="right" vertical="top" wrapText="1"/>
    </xf>
    <xf numFmtId="3" fontId="23" fillId="0" borderId="0" xfId="0" applyNumberFormat="1" applyFont="1" applyAlignment="1">
      <alignment horizontal="right" vertical="top" wrapText="1"/>
    </xf>
    <xf numFmtId="3" fontId="17" fillId="0" borderId="0" xfId="0" applyNumberFormat="1" applyFont="1" applyAlignment="1" applyProtection="1">
      <alignment horizontal="right" vertical="top" wrapText="1" readingOrder="1"/>
      <protection locked="0"/>
    </xf>
    <xf numFmtId="3" fontId="17" fillId="0" borderId="0" xfId="0" applyNumberFormat="1" applyFont="1" applyAlignment="1">
      <alignment horizontal="right" vertical="top" wrapText="1"/>
    </xf>
    <xf numFmtId="0" fontId="17" fillId="2" borderId="40" xfId="0" applyFont="1" applyFill="1" applyBorder="1"/>
    <xf numFmtId="3" fontId="92" fillId="0" borderId="0" xfId="0" applyNumberFormat="1" applyFont="1"/>
    <xf numFmtId="0" fontId="0" fillId="2" borderId="40" xfId="0" applyFill="1" applyBorder="1"/>
    <xf numFmtId="3" fontId="0" fillId="0" borderId="38" xfId="0" applyNumberFormat="1" applyBorder="1" applyAlignment="1">
      <alignment horizontal="right"/>
    </xf>
    <xf numFmtId="3" fontId="95" fillId="0" borderId="50" xfId="0" applyNumberFormat="1" applyFont="1" applyBorder="1" applyAlignment="1">
      <alignment horizontal="right" vertical="top"/>
    </xf>
    <xf numFmtId="3" fontId="95" fillId="0" borderId="48" xfId="0" applyNumberFormat="1" applyFont="1" applyBorder="1" applyAlignment="1">
      <alignment vertical="top"/>
    </xf>
    <xf numFmtId="3" fontId="95" fillId="0" borderId="45" xfId="0" applyNumberFormat="1" applyFont="1" applyBorder="1" applyAlignment="1">
      <alignment vertical="top"/>
    </xf>
    <xf numFmtId="3" fontId="0" fillId="0" borderId="35" xfId="0" applyNumberFormat="1" applyBorder="1"/>
    <xf numFmtId="3" fontId="0" fillId="0" borderId="46" xfId="0" applyNumberFormat="1" applyBorder="1"/>
    <xf numFmtId="3" fontId="8" fillId="0" borderId="47" xfId="0" applyNumberFormat="1" applyFont="1" applyBorder="1" applyAlignment="1">
      <alignment vertical="top"/>
    </xf>
    <xf numFmtId="3" fontId="45" fillId="0" borderId="0" xfId="0" applyNumberFormat="1" applyFont="1" applyAlignment="1">
      <alignment vertical="top"/>
    </xf>
    <xf numFmtId="3" fontId="8" fillId="0" borderId="35" xfId="0" applyNumberFormat="1" applyFont="1" applyBorder="1" applyAlignment="1">
      <alignment vertical="top"/>
    </xf>
    <xf numFmtId="0" fontId="98" fillId="2" borderId="0" xfId="0" applyFont="1" applyFill="1" applyAlignment="1" applyProtection="1">
      <alignment vertical="top" readingOrder="1"/>
      <protection locked="0"/>
    </xf>
    <xf numFmtId="0" fontId="0" fillId="0" borderId="0" xfId="0" applyAlignment="1">
      <alignment vertical="top" wrapText="1"/>
    </xf>
    <xf numFmtId="3" fontId="8" fillId="0" borderId="20" xfId="0" applyNumberFormat="1" applyFont="1" applyBorder="1" applyAlignment="1">
      <alignment horizontal="right" vertical="top"/>
    </xf>
    <xf numFmtId="3" fontId="0" fillId="0" borderId="39" xfId="0" applyNumberFormat="1" applyBorder="1" applyAlignment="1">
      <alignment horizontal="right"/>
    </xf>
    <xf numFmtId="3" fontId="0" fillId="0" borderId="37" xfId="0" applyNumberFormat="1" applyBorder="1"/>
    <xf numFmtId="3" fontId="0" fillId="0" borderId="48" xfId="0" applyNumberFormat="1" applyBorder="1"/>
    <xf numFmtId="3" fontId="0" fillId="0" borderId="47" xfId="0" applyNumberFormat="1" applyBorder="1"/>
    <xf numFmtId="3" fontId="95" fillId="0" borderId="38" xfId="0" applyNumberFormat="1" applyFont="1" applyBorder="1" applyAlignment="1">
      <alignment vertical="top"/>
    </xf>
    <xf numFmtId="0" fontId="45" fillId="0" borderId="0" xfId="0" applyFont="1" applyAlignment="1">
      <alignment vertical="top"/>
    </xf>
    <xf numFmtId="3" fontId="95" fillId="0" borderId="46" xfId="0" applyNumberFormat="1" applyFont="1" applyBorder="1" applyAlignment="1">
      <alignment vertical="top"/>
    </xf>
    <xf numFmtId="3" fontId="0" fillId="0" borderId="36" xfId="0" applyNumberFormat="1" applyBorder="1"/>
    <xf numFmtId="3" fontId="95" fillId="0" borderId="39" xfId="0" applyNumberFormat="1" applyFont="1" applyBorder="1" applyAlignment="1">
      <alignment vertical="top"/>
    </xf>
    <xf numFmtId="3" fontId="95" fillId="0" borderId="49" xfId="0" applyNumberFormat="1" applyFont="1" applyBorder="1" applyAlignment="1">
      <alignment vertical="top"/>
    </xf>
    <xf numFmtId="3" fontId="8" fillId="0" borderId="37" xfId="0" applyNumberFormat="1" applyFont="1" applyBorder="1" applyAlignment="1">
      <alignment vertical="top"/>
    </xf>
    <xf numFmtId="3" fontId="8" fillId="0" borderId="48" xfId="0" applyNumberFormat="1" applyFont="1" applyBorder="1" applyAlignment="1">
      <alignment vertical="top"/>
    </xf>
    <xf numFmtId="3" fontId="0" fillId="0" borderId="33" xfId="0" applyNumberFormat="1" applyBorder="1"/>
    <xf numFmtId="0" fontId="97" fillId="2" borderId="20" xfId="0" applyFont="1" applyFill="1" applyBorder="1"/>
    <xf numFmtId="3" fontId="95" fillId="0" borderId="33" xfId="0" applyNumberFormat="1" applyFont="1" applyBorder="1" applyAlignment="1">
      <alignment vertical="top"/>
    </xf>
    <xf numFmtId="0" fontId="95" fillId="0" borderId="0" xfId="0" applyFont="1" applyAlignment="1">
      <alignment vertical="top" wrapText="1"/>
    </xf>
    <xf numFmtId="3" fontId="95" fillId="0" borderId="0" xfId="0" applyNumberFormat="1" applyFont="1" applyAlignment="1">
      <alignment vertical="top"/>
    </xf>
    <xf numFmtId="3" fontId="0" fillId="0" borderId="49" xfId="0" applyNumberFormat="1" applyBorder="1"/>
    <xf numFmtId="0" fontId="95" fillId="0" borderId="0" xfId="0" applyFont="1" applyAlignment="1">
      <alignment horizontal="centerContinuous" vertical="top" wrapText="1"/>
    </xf>
    <xf numFmtId="3" fontId="95" fillId="0" borderId="36" xfId="0" applyNumberFormat="1" applyFont="1" applyBorder="1" applyAlignment="1">
      <alignment vertical="top"/>
    </xf>
    <xf numFmtId="3" fontId="0" fillId="0" borderId="38" xfId="0" applyNumberFormat="1" applyBorder="1"/>
    <xf numFmtId="0" fontId="84" fillId="0" borderId="0" xfId="0" applyFont="1" applyAlignment="1">
      <alignment vertical="top" wrapText="1"/>
    </xf>
    <xf numFmtId="3" fontId="0" fillId="0" borderId="46" xfId="0" applyNumberFormat="1" applyBorder="1" applyAlignment="1">
      <alignment horizontal="right"/>
    </xf>
    <xf numFmtId="3" fontId="8" fillId="0" borderId="33" xfId="0" applyNumberFormat="1" applyFont="1" applyBorder="1" applyAlignment="1">
      <alignment vertical="top"/>
    </xf>
    <xf numFmtId="0" fontId="94" fillId="0" borderId="0" xfId="0" applyFont="1" applyAlignment="1">
      <alignment horizontal="center" vertical="top" wrapText="1"/>
    </xf>
    <xf numFmtId="0" fontId="95" fillId="0" borderId="0" xfId="0" applyFont="1" applyAlignment="1">
      <alignment horizontal="center" vertical="top" wrapText="1"/>
    </xf>
    <xf numFmtId="3" fontId="0" fillId="0" borderId="39" xfId="0" applyNumberFormat="1" applyBorder="1"/>
    <xf numFmtId="0" fontId="8" fillId="0" borderId="0" xfId="0" applyFont="1" applyAlignment="1">
      <alignment vertical="top"/>
    </xf>
    <xf numFmtId="0" fontId="44" fillId="0" borderId="0" xfId="0" applyFont="1" applyAlignment="1">
      <alignment vertical="top"/>
    </xf>
    <xf numFmtId="3" fontId="8" fillId="0" borderId="0" xfId="0" applyNumberFormat="1" applyFont="1" applyAlignment="1">
      <alignment vertical="top"/>
    </xf>
    <xf numFmtId="0" fontId="93" fillId="0" borderId="0" xfId="0" applyFont="1" applyAlignment="1">
      <alignment vertical="top"/>
    </xf>
    <xf numFmtId="0" fontId="8" fillId="0" borderId="20" xfId="0" applyFont="1" applyBorder="1" applyAlignment="1">
      <alignment vertical="top"/>
    </xf>
    <xf numFmtId="0" fontId="44" fillId="0" borderId="41" xfId="0" applyFont="1" applyBorder="1" applyAlignment="1">
      <alignment horizontal="centerContinuous" vertical="top" wrapText="1"/>
    </xf>
    <xf numFmtId="0" fontId="44" fillId="0" borderId="42" xfId="0" applyFont="1" applyBorder="1" applyAlignment="1">
      <alignment horizontal="centerContinuous" vertical="top" wrapText="1"/>
    </xf>
    <xf numFmtId="0" fontId="44" fillId="0" borderId="43" xfId="0" applyFont="1" applyBorder="1" applyAlignment="1">
      <alignment horizontal="centerContinuous" vertical="top" wrapText="1"/>
    </xf>
    <xf numFmtId="0" fontId="44" fillId="0" borderId="44" xfId="0" applyFont="1" applyBorder="1" applyAlignment="1">
      <alignment horizontal="centerContinuous" vertical="top" wrapText="1"/>
    </xf>
    <xf numFmtId="0" fontId="8" fillId="0" borderId="43" xfId="0" applyFont="1" applyBorder="1" applyAlignment="1">
      <alignment horizontal="centerContinuous" wrapText="1"/>
    </xf>
    <xf numFmtId="0" fontId="8" fillId="0" borderId="44" xfId="0" applyFont="1" applyBorder="1" applyAlignment="1">
      <alignment horizontal="centerContinuous" wrapText="1"/>
    </xf>
    <xf numFmtId="0" fontId="8" fillId="0" borderId="0" xfId="0" applyFont="1" applyAlignment="1">
      <alignment vertical="top" wrapText="1"/>
    </xf>
    <xf numFmtId="0" fontId="44" fillId="0" borderId="45" xfId="0" applyFont="1" applyBorder="1" applyAlignment="1">
      <alignment vertical="top"/>
    </xf>
    <xf numFmtId="0" fontId="8" fillId="0" borderId="46" xfId="0" applyFont="1" applyBorder="1" applyAlignment="1">
      <alignment vertical="top"/>
    </xf>
    <xf numFmtId="0" fontId="8" fillId="0" borderId="49" xfId="0" applyFont="1" applyBorder="1" applyAlignment="1">
      <alignment vertical="top"/>
    </xf>
    <xf numFmtId="0" fontId="8" fillId="0" borderId="38" xfId="0" applyFont="1" applyBorder="1" applyAlignment="1">
      <alignment vertical="top"/>
    </xf>
    <xf numFmtId="0" fontId="8" fillId="0" borderId="36" xfId="0" applyFont="1" applyBorder="1" applyAlignment="1">
      <alignment vertical="top"/>
    </xf>
    <xf numFmtId="0" fontId="8" fillId="0" borderId="39" xfId="0" applyFont="1" applyBorder="1" applyAlignment="1">
      <alignment vertical="top"/>
    </xf>
    <xf numFmtId="0" fontId="8" fillId="0" borderId="45" xfId="0" applyFont="1" applyBorder="1" applyAlignment="1">
      <alignment vertical="top"/>
    </xf>
    <xf numFmtId="0" fontId="0" fillId="0" borderId="45" xfId="0" applyBorder="1"/>
    <xf numFmtId="3" fontId="8" fillId="0" borderId="20" xfId="0" applyNumberFormat="1" applyFont="1" applyBorder="1" applyAlignment="1">
      <alignment vertical="top"/>
    </xf>
    <xf numFmtId="3" fontId="8" fillId="0" borderId="49" xfId="0" applyNumberFormat="1" applyFont="1" applyBorder="1" applyAlignment="1">
      <alignment vertical="top"/>
    </xf>
    <xf numFmtId="3" fontId="8" fillId="0" borderId="38" xfId="0" applyNumberFormat="1" applyFont="1" applyBorder="1" applyAlignment="1">
      <alignment vertical="top"/>
    </xf>
    <xf numFmtId="3" fontId="8" fillId="0" borderId="36" xfId="0" applyNumberFormat="1" applyFont="1" applyBorder="1" applyAlignment="1">
      <alignment vertical="top"/>
    </xf>
    <xf numFmtId="3" fontId="8" fillId="0" borderId="39" xfId="0" applyNumberFormat="1" applyFont="1" applyBorder="1" applyAlignment="1">
      <alignment vertical="top"/>
    </xf>
    <xf numFmtId="3" fontId="8" fillId="0" borderId="50" xfId="0" applyNumberFormat="1" applyFont="1" applyBorder="1" applyAlignment="1">
      <alignment vertical="top"/>
    </xf>
    <xf numFmtId="3" fontId="44" fillId="0" borderId="45" xfId="0" applyNumberFormat="1" applyFont="1" applyBorder="1" applyAlignment="1">
      <alignment vertical="top"/>
    </xf>
    <xf numFmtId="3" fontId="8" fillId="0" borderId="46" xfId="0" applyNumberFormat="1" applyFont="1" applyBorder="1" applyAlignment="1">
      <alignment vertical="top"/>
    </xf>
    <xf numFmtId="3" fontId="8" fillId="0" borderId="45" xfId="0" applyNumberFormat="1" applyFont="1" applyBorder="1" applyAlignment="1">
      <alignment vertical="top"/>
    </xf>
    <xf numFmtId="3" fontId="0" fillId="0" borderId="45" xfId="0" applyNumberFormat="1" applyBorder="1"/>
    <xf numFmtId="0" fontId="62" fillId="0" borderId="0" xfId="0" applyFont="1"/>
    <xf numFmtId="0" fontId="62" fillId="0" borderId="20" xfId="0" applyFont="1" applyBorder="1"/>
    <xf numFmtId="0" fontId="0" fillId="0" borderId="20" xfId="0" applyBorder="1"/>
    <xf numFmtId="0" fontId="0" fillId="0" borderId="0" xfId="0" applyAlignment="1">
      <alignment vertical="top"/>
    </xf>
    <xf numFmtId="3" fontId="0" fillId="0" borderId="0" xfId="8" applyNumberFormat="1" applyFont="1"/>
    <xf numFmtId="0" fontId="0" fillId="0" borderId="0" xfId="0" applyAlignment="1">
      <alignment horizontal="right"/>
    </xf>
    <xf numFmtId="0" fontId="22" fillId="2" borderId="0" xfId="0" applyFont="1" applyFill="1" applyAlignment="1" applyProtection="1">
      <alignment vertical="top"/>
      <protection locked="0"/>
    </xf>
    <xf numFmtId="3" fontId="95" fillId="0" borderId="45" xfId="0" applyNumberFormat="1" applyFont="1" applyBorder="1" applyAlignment="1">
      <alignment horizontal="right" vertical="top"/>
    </xf>
    <xf numFmtId="3" fontId="95" fillId="0" borderId="48" xfId="0" applyNumberFormat="1" applyFont="1" applyBorder="1" applyAlignment="1">
      <alignment horizontal="right" vertical="top"/>
    </xf>
    <xf numFmtId="3" fontId="95" fillId="0" borderId="46" xfId="0" applyNumberFormat="1" applyFont="1" applyBorder="1" applyAlignment="1">
      <alignment horizontal="right" vertical="top"/>
    </xf>
    <xf numFmtId="3" fontId="95" fillId="0" borderId="49" xfId="0" applyNumberFormat="1" applyFont="1" applyBorder="1" applyAlignment="1">
      <alignment horizontal="right" vertical="top"/>
    </xf>
    <xf numFmtId="3" fontId="95" fillId="0" borderId="0" xfId="0" applyNumberFormat="1" applyFont="1" applyAlignment="1">
      <alignment horizontal="right" vertical="top"/>
    </xf>
    <xf numFmtId="3" fontId="95" fillId="0" borderId="38" xfId="0" applyNumberFormat="1" applyFont="1" applyBorder="1" applyAlignment="1">
      <alignment horizontal="right" vertical="top"/>
    </xf>
    <xf numFmtId="3" fontId="95" fillId="0" borderId="36" xfId="0" applyNumberFormat="1" applyFont="1" applyBorder="1" applyAlignment="1">
      <alignment horizontal="right" vertical="top"/>
    </xf>
    <xf numFmtId="3" fontId="95" fillId="0" borderId="33" xfId="0" applyNumberFormat="1" applyFont="1" applyBorder="1" applyAlignment="1">
      <alignment horizontal="right" vertical="top"/>
    </xf>
    <xf numFmtId="3" fontId="95" fillId="0" borderId="39" xfId="0" applyNumberFormat="1" applyFont="1" applyBorder="1" applyAlignment="1">
      <alignment horizontal="right" vertical="top"/>
    </xf>
    <xf numFmtId="0" fontId="96" fillId="2" borderId="20" xfId="0" applyFont="1" applyFill="1" applyBorder="1" applyAlignment="1" applyProtection="1">
      <alignment vertical="top" wrapText="1" readingOrder="1"/>
      <protection locked="0"/>
    </xf>
    <xf numFmtId="3" fontId="97" fillId="2" borderId="20" xfId="0" applyNumberFormat="1" applyFont="1" applyFill="1" applyBorder="1"/>
    <xf numFmtId="0" fontId="96" fillId="2" borderId="0" xfId="0" applyFont="1" applyFill="1" applyAlignment="1" applyProtection="1">
      <alignment vertical="top" wrapText="1" readingOrder="1"/>
      <protection locked="0"/>
    </xf>
    <xf numFmtId="0" fontId="99" fillId="2" borderId="0" xfId="0" applyFont="1" applyFill="1" applyAlignment="1" applyProtection="1">
      <alignment vertical="top" readingOrder="1"/>
      <protection locked="0"/>
    </xf>
    <xf numFmtId="0" fontId="97" fillId="2" borderId="0" xfId="0" applyFont="1" applyFill="1"/>
    <xf numFmtId="0" fontId="98" fillId="2" borderId="0" xfId="0" applyFont="1" applyFill="1" applyAlignment="1" applyProtection="1">
      <alignment vertical="top" wrapText="1" readingOrder="1"/>
      <protection locked="0"/>
    </xf>
    <xf numFmtId="3" fontId="96" fillId="2" borderId="20" xfId="0" applyNumberFormat="1" applyFont="1" applyFill="1" applyBorder="1" applyAlignment="1" applyProtection="1">
      <alignment vertical="top" wrapText="1" readingOrder="1"/>
      <protection locked="0"/>
    </xf>
    <xf numFmtId="3" fontId="96" fillId="2" borderId="0" xfId="0" applyNumberFormat="1" applyFont="1" applyFill="1" applyAlignment="1" applyProtection="1">
      <alignment vertical="top" wrapText="1" readingOrder="1"/>
      <protection locked="0"/>
    </xf>
    <xf numFmtId="3" fontId="97" fillId="2" borderId="0" xfId="0" applyNumberFormat="1" applyFont="1" applyFill="1"/>
    <xf numFmtId="3" fontId="18" fillId="2" borderId="0" xfId="0" applyNumberFormat="1" applyFont="1" applyFill="1" applyAlignment="1">
      <alignment horizontal="right" vertical="center"/>
    </xf>
    <xf numFmtId="0" fontId="17" fillId="2" borderId="0" xfId="0" applyFont="1" applyFill="1" applyAlignment="1">
      <alignment horizontal="left" vertical="top"/>
    </xf>
    <xf numFmtId="3" fontId="60" fillId="0" borderId="0" xfId="0" applyNumberFormat="1" applyFont="1" applyAlignment="1">
      <alignment horizontal="right" vertical="top"/>
    </xf>
    <xf numFmtId="3" fontId="61" fillId="0" borderId="0" xfId="0" applyNumberFormat="1" applyFont="1" applyAlignment="1">
      <alignment horizontal="right" vertical="top"/>
    </xf>
    <xf numFmtId="3" fontId="17" fillId="0" borderId="0" xfId="53" applyNumberFormat="1" applyFont="1" applyAlignment="1">
      <alignment horizontal="right" vertical="top"/>
    </xf>
    <xf numFmtId="3" fontId="18" fillId="0" borderId="0" xfId="53" applyNumberFormat="1" applyFont="1" applyAlignment="1">
      <alignment horizontal="right" vertical="top"/>
    </xf>
    <xf numFmtId="0" fontId="64" fillId="0" borderId="40" xfId="0" applyFont="1" applyBorder="1"/>
    <xf numFmtId="167" fontId="17" fillId="2" borderId="0" xfId="0" applyNumberFormat="1" applyFont="1" applyFill="1" applyAlignment="1">
      <alignment horizontal="right" vertical="top"/>
    </xf>
    <xf numFmtId="3" fontId="23" fillId="2" borderId="0" xfId="0" applyNumberFormat="1" applyFont="1" applyFill="1" applyAlignment="1">
      <alignment horizontal="right" vertical="top"/>
    </xf>
    <xf numFmtId="3" fontId="22" fillId="0" borderId="0" xfId="0" applyNumberFormat="1" applyFont="1" applyAlignment="1" applyProtection="1">
      <alignment horizontal="right" vertical="top" wrapText="1" readingOrder="1"/>
      <protection locked="0"/>
    </xf>
    <xf numFmtId="3" fontId="17" fillId="0" borderId="0" xfId="0" applyNumberFormat="1" applyFont="1" applyAlignment="1">
      <alignment horizontal="right" vertical="top"/>
    </xf>
    <xf numFmtId="167" fontId="18" fillId="2" borderId="0" xfId="0" applyNumberFormat="1" applyFont="1" applyFill="1" applyAlignment="1">
      <alignment horizontal="right" vertical="top"/>
    </xf>
    <xf numFmtId="3" fontId="21" fillId="0" borderId="0" xfId="0" applyNumberFormat="1" applyFont="1" applyAlignment="1" applyProtection="1">
      <alignment horizontal="right" vertical="top" wrapText="1" readingOrder="1"/>
      <protection locked="0"/>
    </xf>
    <xf numFmtId="3" fontId="29" fillId="2" borderId="0" xfId="0" applyNumberFormat="1" applyFont="1" applyFill="1" applyAlignment="1">
      <alignment horizontal="right" vertical="top" wrapText="1"/>
    </xf>
    <xf numFmtId="3" fontId="21" fillId="2" borderId="0" xfId="0" applyNumberFormat="1" applyFont="1" applyFill="1" applyAlignment="1" applyProtection="1">
      <alignment horizontal="right" wrapText="1" readingOrder="1"/>
      <protection locked="0"/>
    </xf>
    <xf numFmtId="3" fontId="18" fillId="2" borderId="0" xfId="0" applyNumberFormat="1" applyFont="1" applyFill="1" applyAlignment="1" applyProtection="1">
      <alignment horizontal="right" vertical="top" wrapText="1" readingOrder="1"/>
      <protection locked="0"/>
    </xf>
    <xf numFmtId="3" fontId="23" fillId="2" borderId="0" xfId="0" applyNumberFormat="1" applyFont="1" applyFill="1" applyAlignment="1">
      <alignment horizontal="right" vertical="top" wrapText="1"/>
    </xf>
    <xf numFmtId="0" fontId="21" fillId="2" borderId="20" xfId="0" applyFont="1" applyFill="1" applyBorder="1" applyAlignment="1" applyProtection="1">
      <alignment horizontal="left" vertical="top" wrapText="1" readingOrder="1"/>
      <protection locked="0"/>
    </xf>
    <xf numFmtId="165" fontId="21" fillId="2" borderId="0" xfId="1" applyNumberFormat="1" applyFont="1" applyFill="1" applyBorder="1" applyAlignment="1" applyProtection="1">
      <alignment horizontal="right" vertical="top" wrapText="1" readingOrder="1"/>
      <protection locked="0"/>
    </xf>
    <xf numFmtId="165" fontId="17" fillId="2" borderId="0" xfId="1" applyNumberFormat="1" applyFont="1" applyFill="1" applyAlignment="1">
      <alignment horizontal="right" wrapText="1"/>
    </xf>
    <xf numFmtId="3" fontId="23" fillId="0" borderId="52" xfId="0" applyNumberFormat="1" applyFont="1" applyBorder="1" applyAlignment="1">
      <alignment horizontal="right" vertical="top" wrapText="1"/>
    </xf>
    <xf numFmtId="0" fontId="17" fillId="2" borderId="0" xfId="0" applyFont="1" applyFill="1" applyAlignment="1">
      <alignment horizontal="right" vertical="top"/>
    </xf>
    <xf numFmtId="3" fontId="29" fillId="0" borderId="51" xfId="0" applyNumberFormat="1" applyFont="1" applyBorder="1" applyAlignment="1">
      <alignment horizontal="right" vertical="top"/>
    </xf>
    <xf numFmtId="165" fontId="18" fillId="2" borderId="0" xfId="1" applyNumberFormat="1" applyFont="1" applyFill="1" applyAlignment="1">
      <alignment horizontal="right" vertical="top" wrapText="1"/>
    </xf>
    <xf numFmtId="165" fontId="18" fillId="2" borderId="0" xfId="1" applyNumberFormat="1" applyFont="1" applyFill="1" applyAlignment="1">
      <alignment horizontal="right" wrapText="1"/>
    </xf>
    <xf numFmtId="165" fontId="17" fillId="2" borderId="0" xfId="1" applyNumberFormat="1" applyFont="1" applyFill="1" applyBorder="1" applyAlignment="1">
      <alignment horizontal="right" wrapText="1"/>
    </xf>
    <xf numFmtId="164" fontId="18" fillId="2" borderId="0" xfId="0" applyNumberFormat="1" applyFont="1" applyFill="1" applyAlignment="1" applyProtection="1">
      <alignment horizontal="right" vertical="top" wrapText="1" readingOrder="1"/>
      <protection locked="0"/>
    </xf>
    <xf numFmtId="167" fontId="17" fillId="36" borderId="0" xfId="0" applyNumberFormat="1" applyFont="1" applyFill="1" applyAlignment="1">
      <alignment horizontal="right" vertical="top" wrapText="1"/>
    </xf>
    <xf numFmtId="3" fontId="17" fillId="2" borderId="0" xfId="85" applyNumberFormat="1" applyFill="1" applyAlignment="1">
      <alignment horizontal="right" vertical="top" wrapText="1"/>
    </xf>
    <xf numFmtId="167" fontId="17" fillId="2" borderId="0" xfId="84" applyNumberFormat="1" applyFont="1" applyFill="1" applyAlignment="1">
      <alignment horizontal="right" vertical="top" wrapText="1"/>
    </xf>
    <xf numFmtId="164" fontId="18" fillId="2" borderId="0" xfId="0" applyNumberFormat="1" applyFont="1" applyFill="1" applyAlignment="1">
      <alignment horizontal="right" vertical="top" wrapText="1"/>
    </xf>
    <xf numFmtId="164" fontId="18" fillId="2" borderId="0" xfId="0" applyNumberFormat="1" applyFont="1" applyFill="1" applyAlignment="1">
      <alignment horizontal="right" vertical="top"/>
    </xf>
    <xf numFmtId="164" fontId="17" fillId="2" borderId="0" xfId="0" applyNumberFormat="1" applyFont="1" applyFill="1" applyAlignment="1">
      <alignment horizontal="right" vertical="top"/>
    </xf>
    <xf numFmtId="167" fontId="18" fillId="2" borderId="0" xfId="0" applyNumberFormat="1" applyFont="1" applyFill="1" applyAlignment="1">
      <alignment horizontal="right" vertical="center"/>
    </xf>
    <xf numFmtId="0" fontId="19" fillId="2" borderId="0" xfId="0" applyFont="1" applyFill="1" applyAlignment="1" applyProtection="1">
      <alignment horizontal="right" vertical="top" wrapText="1" readingOrder="1"/>
      <protection locked="0"/>
    </xf>
    <xf numFmtId="0" fontId="18" fillId="2" borderId="0" xfId="0" applyFont="1" applyFill="1" applyAlignment="1">
      <alignment horizontal="right" vertical="center"/>
    </xf>
    <xf numFmtId="169" fontId="17" fillId="2" borderId="0" xfId="0" applyNumberFormat="1" applyFont="1" applyFill="1" applyAlignment="1">
      <alignment horizontal="right" wrapText="1"/>
    </xf>
    <xf numFmtId="169" fontId="60" fillId="0" borderId="0" xfId="0" applyNumberFormat="1" applyFont="1" applyAlignment="1">
      <alignment horizontal="right" wrapText="1"/>
    </xf>
    <xf numFmtId="164" fontId="17" fillId="2" borderId="0" xfId="0" applyNumberFormat="1" applyFont="1" applyFill="1" applyAlignment="1">
      <alignment horizontal="right" vertical="top" wrapText="1"/>
    </xf>
    <xf numFmtId="169" fontId="61" fillId="0" borderId="0" xfId="0" applyNumberFormat="1" applyFont="1" applyAlignment="1">
      <alignment horizontal="right" wrapText="1"/>
    </xf>
    <xf numFmtId="169" fontId="61" fillId="36" borderId="0" xfId="0" applyNumberFormat="1" applyFont="1" applyFill="1" applyAlignment="1">
      <alignment horizontal="right" wrapText="1"/>
    </xf>
    <xf numFmtId="3" fontId="17" fillId="2" borderId="0" xfId="0" applyNumberFormat="1" applyFont="1" applyFill="1" applyAlignment="1" applyProtection="1">
      <alignment horizontal="right" vertical="top" wrapText="1" readingOrder="1"/>
      <protection locked="0"/>
    </xf>
    <xf numFmtId="165" fontId="18" fillId="2" borderId="0" xfId="0" applyNumberFormat="1" applyFont="1" applyFill="1" applyAlignment="1">
      <alignment horizontal="right" vertical="center" wrapText="1"/>
    </xf>
    <xf numFmtId="165" fontId="17" fillId="2" borderId="0" xfId="0" applyNumberFormat="1" applyFont="1" applyFill="1" applyAlignment="1">
      <alignment horizontal="right" vertical="center"/>
    </xf>
    <xf numFmtId="165" fontId="17" fillId="2" borderId="0" xfId="0" applyNumberFormat="1" applyFont="1" applyFill="1" applyAlignment="1">
      <alignment horizontal="right" wrapText="1"/>
    </xf>
    <xf numFmtId="165" fontId="17" fillId="2" borderId="0" xfId="1" applyNumberFormat="1" applyFont="1" applyFill="1" applyAlignment="1">
      <alignment horizontal="right" vertical="top" wrapText="1"/>
    </xf>
    <xf numFmtId="165" fontId="22" fillId="2" borderId="0" xfId="1" applyNumberFormat="1" applyFont="1" applyFill="1" applyBorder="1" applyAlignment="1" applyProtection="1">
      <alignment horizontal="right" vertical="top" wrapText="1" readingOrder="1"/>
      <protection locked="0"/>
    </xf>
    <xf numFmtId="0" fontId="25" fillId="0" borderId="0" xfId="3" applyAlignment="1">
      <alignment vertical="top"/>
    </xf>
    <xf numFmtId="0" fontId="0" fillId="0" borderId="0" xfId="0" applyAlignment="1">
      <alignment horizontal="left"/>
    </xf>
    <xf numFmtId="3" fontId="8" fillId="0" borderId="0" xfId="0" applyNumberFormat="1" applyFont="1" applyBorder="1" applyAlignment="1">
      <alignment vertical="top"/>
    </xf>
    <xf numFmtId="167" fontId="0" fillId="0" borderId="0" xfId="0" applyNumberFormat="1"/>
    <xf numFmtId="167" fontId="0" fillId="0" borderId="0" xfId="8" applyNumberFormat="1" applyFont="1"/>
    <xf numFmtId="0" fontId="19" fillId="2" borderId="0" xfId="0" applyFont="1" applyFill="1" applyAlignment="1" applyProtection="1">
      <alignment vertical="top" readingOrder="1"/>
      <protection locked="0"/>
    </xf>
    <xf numFmtId="0" fontId="21" fillId="2" borderId="0" xfId="0" applyFont="1" applyFill="1" applyAlignment="1" applyProtection="1">
      <alignment horizontal="left" vertical="top" wrapText="1" readingOrder="1"/>
      <protection locked="0"/>
    </xf>
    <xf numFmtId="0" fontId="22" fillId="2" borderId="0" xfId="0" applyFont="1" applyFill="1" applyAlignment="1" applyProtection="1">
      <alignment horizontal="left" vertical="top" wrapText="1"/>
      <protection locked="0"/>
    </xf>
    <xf numFmtId="0" fontId="22" fillId="2" borderId="0" xfId="0" applyFont="1" applyFill="1" applyAlignment="1" applyProtection="1">
      <alignment horizontal="left" vertical="top" wrapText="1" readingOrder="1"/>
      <protection locked="0"/>
    </xf>
    <xf numFmtId="0" fontId="21" fillId="2" borderId="0" xfId="0" applyFont="1" applyFill="1" applyAlignment="1" applyProtection="1">
      <alignment vertical="top" wrapText="1" readingOrder="1"/>
      <protection locked="0"/>
    </xf>
    <xf numFmtId="0" fontId="21" fillId="2" borderId="0" xfId="0" applyFont="1" applyFill="1" applyBorder="1" applyAlignment="1" applyProtection="1">
      <alignment vertical="top" wrapText="1" readingOrder="1"/>
      <protection locked="0"/>
    </xf>
    <xf numFmtId="0" fontId="22" fillId="2" borderId="49" xfId="0" applyFont="1" applyFill="1" applyBorder="1" applyAlignment="1" applyProtection="1">
      <alignment vertical="top" wrapText="1" readingOrder="1"/>
      <protection locked="0"/>
    </xf>
    <xf numFmtId="0" fontId="18" fillId="2" borderId="0" xfId="0" applyFont="1" applyFill="1" applyBorder="1" applyAlignment="1" applyProtection="1">
      <alignment vertical="top" wrapText="1" readingOrder="1"/>
      <protection locked="0"/>
    </xf>
    <xf numFmtId="0" fontId="17" fillId="2" borderId="0" xfId="0" applyFont="1" applyFill="1" applyBorder="1"/>
    <xf numFmtId="167" fontId="29" fillId="0" borderId="0" xfId="8" applyNumberFormat="1" applyFont="1"/>
    <xf numFmtId="167" fontId="29" fillId="0" borderId="33" xfId="109" applyNumberFormat="1" applyFont="1" applyBorder="1"/>
    <xf numFmtId="167" fontId="23" fillId="0" borderId="0" xfId="8" applyNumberFormat="1" applyFont="1"/>
    <xf numFmtId="167" fontId="23" fillId="0" borderId="33" xfId="108" applyNumberFormat="1" applyFont="1" applyBorder="1"/>
    <xf numFmtId="3" fontId="113" fillId="0" borderId="0" xfId="53" applyNumberFormat="1" applyFont="1" applyAlignment="1">
      <alignment horizontal="right" vertical="top" wrapText="1"/>
    </xf>
    <xf numFmtId="3" fontId="17" fillId="0" borderId="0" xfId="53" applyNumberFormat="1" applyFont="1" applyFill="1" applyAlignment="1">
      <alignment horizontal="right" vertical="top" wrapText="1"/>
    </xf>
    <xf numFmtId="3" fontId="113" fillId="0" borderId="0" xfId="53" applyNumberFormat="1" applyFont="1" applyAlignment="1">
      <alignment horizontal="right" vertical="top"/>
    </xf>
    <xf numFmtId="166" fontId="18" fillId="2" borderId="0" xfId="0" applyNumberFormat="1" applyFont="1" applyFill="1" applyAlignment="1">
      <alignment horizontal="right" vertical="center"/>
    </xf>
    <xf numFmtId="166" fontId="18" fillId="2" borderId="0" xfId="8" applyNumberFormat="1" applyFont="1" applyFill="1"/>
    <xf numFmtId="166" fontId="17" fillId="2" borderId="0" xfId="0" applyNumberFormat="1" applyFont="1" applyFill="1" applyAlignment="1">
      <alignment horizontal="right" vertical="center" wrapText="1"/>
    </xf>
    <xf numFmtId="166" fontId="18" fillId="2" borderId="0" xfId="0" applyNumberFormat="1" applyFont="1" applyFill="1" applyAlignment="1">
      <alignment horizontal="right" vertical="center" wrapText="1"/>
    </xf>
    <xf numFmtId="0" fontId="18" fillId="2" borderId="49" xfId="0" applyFont="1" applyFill="1" applyBorder="1" applyAlignment="1" applyProtection="1">
      <alignment vertical="top" readingOrder="1"/>
      <protection locked="0"/>
    </xf>
    <xf numFmtId="0" fontId="23" fillId="0" borderId="55" xfId="0" applyFont="1" applyBorder="1" applyAlignment="1">
      <alignment horizontal="center" vertical="center" wrapText="1"/>
    </xf>
    <xf numFmtId="0" fontId="23" fillId="0" borderId="20" xfId="0" applyFont="1" applyBorder="1" applyAlignment="1">
      <alignment horizontal="center" vertical="center" wrapText="1"/>
    </xf>
    <xf numFmtId="0" fontId="17" fillId="2" borderId="20" xfId="0" applyFont="1" applyFill="1" applyBorder="1" applyAlignment="1">
      <alignment horizontal="center" vertical="center" wrapText="1"/>
    </xf>
    <xf numFmtId="0" fontId="23" fillId="0" borderId="57" xfId="0" applyFont="1" applyBorder="1" applyAlignment="1">
      <alignment horizontal="center" vertical="center" wrapText="1"/>
    </xf>
    <xf numFmtId="0" fontId="17" fillId="2" borderId="60" xfId="0" applyFont="1" applyFill="1" applyBorder="1" applyAlignment="1">
      <alignment horizontal="center" vertical="center" wrapText="1"/>
    </xf>
    <xf numFmtId="0" fontId="17" fillId="2" borderId="22" xfId="0" applyFont="1" applyFill="1" applyBorder="1" applyAlignment="1">
      <alignment horizontal="center" vertical="center" wrapText="1"/>
    </xf>
    <xf numFmtId="165" fontId="18" fillId="2" borderId="0" xfId="288" applyNumberFormat="1" applyFont="1" applyFill="1" applyAlignment="1">
      <alignment horizontal="right" vertical="top"/>
    </xf>
    <xf numFmtId="165" fontId="28" fillId="2" borderId="0" xfId="273" applyNumberFormat="1" applyFont="1" applyFill="1" applyAlignment="1">
      <alignment horizontal="right"/>
    </xf>
    <xf numFmtId="0" fontId="17" fillId="2" borderId="0" xfId="0" applyFont="1" applyFill="1" applyBorder="1" applyAlignment="1">
      <alignment horizontal="center" vertical="center"/>
    </xf>
    <xf numFmtId="0" fontId="17" fillId="2" borderId="62" xfId="0" applyFont="1" applyFill="1" applyBorder="1" applyAlignment="1">
      <alignment wrapText="1"/>
    </xf>
    <xf numFmtId="0" fontId="17" fillId="2" borderId="59" xfId="0" applyFont="1" applyFill="1" applyBorder="1" applyAlignment="1">
      <alignment horizontal="center" vertical="center"/>
    </xf>
    <xf numFmtId="0" fontId="17" fillId="2" borderId="0" xfId="0" applyFont="1" applyFill="1"/>
    <xf numFmtId="0" fontId="18" fillId="2" borderId="0" xfId="0" applyFont="1" applyFill="1" applyAlignment="1" applyProtection="1">
      <alignment vertical="top" wrapText="1" readingOrder="1"/>
      <protection locked="0"/>
    </xf>
    <xf numFmtId="0" fontId="22" fillId="2" borderId="0" xfId="0" applyFont="1" applyFill="1" applyAlignment="1" applyProtection="1">
      <alignment vertical="top" wrapText="1" readingOrder="1"/>
      <protection locked="0"/>
    </xf>
    <xf numFmtId="0" fontId="19" fillId="2" borderId="0" xfId="0" applyFont="1" applyFill="1" applyAlignment="1" applyProtection="1">
      <alignment vertical="top" readingOrder="1"/>
      <protection locked="0"/>
    </xf>
    <xf numFmtId="165" fontId="17" fillId="2" borderId="0" xfId="0" applyNumberFormat="1" applyFont="1" applyFill="1" applyAlignment="1">
      <alignment horizontal="right"/>
    </xf>
    <xf numFmtId="3" fontId="17" fillId="2" borderId="0" xfId="0" applyNumberFormat="1" applyFont="1" applyFill="1"/>
    <xf numFmtId="3" fontId="18" fillId="2" borderId="0" xfId="0" applyNumberFormat="1" applyFont="1" applyFill="1" applyAlignment="1">
      <alignment vertical="top"/>
    </xf>
    <xf numFmtId="3" fontId="17" fillId="2" borderId="0" xfId="0" applyNumberFormat="1" applyFont="1" applyFill="1" applyAlignment="1">
      <alignment vertical="top"/>
    </xf>
    <xf numFmtId="167" fontId="17" fillId="2" borderId="0" xfId="0" applyNumberFormat="1" applyFont="1" applyFill="1"/>
    <xf numFmtId="3" fontId="21" fillId="2" borderId="0" xfId="0" applyNumberFormat="1" applyFont="1" applyFill="1" applyAlignment="1" applyProtection="1">
      <alignment vertical="top" wrapText="1" readingOrder="1"/>
      <protection locked="0"/>
    </xf>
    <xf numFmtId="0" fontId="17" fillId="2" borderId="20" xfId="0" applyFont="1" applyFill="1" applyBorder="1"/>
    <xf numFmtId="3" fontId="22" fillId="2" borderId="0" xfId="0" applyNumberFormat="1" applyFont="1" applyFill="1" applyAlignment="1" applyProtection="1">
      <alignment vertical="top" wrapText="1" readingOrder="1"/>
      <protection locked="0"/>
    </xf>
    <xf numFmtId="170" fontId="18" fillId="2" borderId="0" xfId="0" applyNumberFormat="1" applyFont="1" applyFill="1" applyAlignment="1" applyProtection="1">
      <alignment horizontal="right" vertical="top" wrapText="1" readingOrder="1"/>
      <protection locked="0"/>
    </xf>
    <xf numFmtId="165" fontId="18" fillId="2" borderId="0" xfId="0" applyNumberFormat="1" applyFont="1" applyFill="1" applyAlignment="1">
      <alignment horizontal="right" vertical="top"/>
    </xf>
    <xf numFmtId="0" fontId="17" fillId="2" borderId="20" xfId="0" applyFont="1" applyFill="1" applyBorder="1" applyAlignment="1">
      <alignment horizontal="right"/>
    </xf>
    <xf numFmtId="3" fontId="17" fillId="2" borderId="0" xfId="0" applyNumberFormat="1" applyFont="1" applyFill="1" applyAlignment="1">
      <alignment horizontal="right" vertical="center" wrapText="1"/>
    </xf>
    <xf numFmtId="0" fontId="21" fillId="2" borderId="0" xfId="0" applyFont="1" applyFill="1" applyAlignment="1" applyProtection="1">
      <alignment horizontal="left" vertical="top" wrapText="1" readingOrder="1"/>
      <protection locked="0"/>
    </xf>
    <xf numFmtId="0" fontId="21" fillId="2" borderId="0" xfId="0" applyFont="1" applyFill="1" applyAlignment="1" applyProtection="1">
      <alignment vertical="top" wrapText="1" readingOrder="1"/>
      <protection locked="0"/>
    </xf>
    <xf numFmtId="3" fontId="22" fillId="2" borderId="0" xfId="0" applyNumberFormat="1" applyFont="1" applyFill="1" applyAlignment="1" applyProtection="1">
      <alignment vertical="top" readingOrder="1"/>
      <protection locked="0"/>
    </xf>
    <xf numFmtId="0" fontId="22" fillId="2" borderId="49" xfId="0" applyFont="1" applyFill="1" applyBorder="1" applyAlignment="1" applyProtection="1">
      <alignment vertical="top" wrapText="1" readingOrder="1"/>
      <protection locked="0"/>
    </xf>
    <xf numFmtId="0" fontId="17" fillId="2" borderId="0" xfId="0" applyFont="1" applyFill="1" applyBorder="1" applyAlignment="1" applyProtection="1">
      <alignment vertical="top" wrapText="1" readingOrder="1"/>
      <protection locked="0"/>
    </xf>
    <xf numFmtId="0" fontId="17" fillId="2" borderId="0" xfId="0" applyFont="1" applyFill="1" applyAlignment="1"/>
    <xf numFmtId="0" fontId="17" fillId="2" borderId="20" xfId="0" applyFont="1" applyFill="1" applyBorder="1" applyAlignment="1">
      <alignment horizontal="center" vertical="center"/>
    </xf>
    <xf numFmtId="0" fontId="21" fillId="2" borderId="20" xfId="0" applyFont="1" applyFill="1" applyBorder="1" applyAlignment="1" applyProtection="1">
      <alignment horizontal="center" vertical="center" wrapText="1" readingOrder="1"/>
      <protection locked="0"/>
    </xf>
    <xf numFmtId="0" fontId="17" fillId="2" borderId="20" xfId="0" applyFont="1" applyFill="1" applyBorder="1" applyAlignment="1">
      <alignment horizontal="center" vertical="center" readingOrder="1"/>
    </xf>
    <xf numFmtId="0" fontId="17" fillId="2" borderId="20" xfId="0" applyFont="1" applyFill="1" applyBorder="1" applyAlignment="1">
      <alignment horizontal="center" vertical="center" wrapText="1" readingOrder="1"/>
    </xf>
    <xf numFmtId="3" fontId="17" fillId="2" borderId="20" xfId="0" applyNumberFormat="1" applyFont="1" applyFill="1" applyBorder="1" applyAlignment="1">
      <alignment horizontal="center" vertical="center" readingOrder="1"/>
    </xf>
    <xf numFmtId="0" fontId="17" fillId="2" borderId="56" xfId="0" applyFont="1" applyFill="1" applyBorder="1"/>
    <xf numFmtId="0" fontId="61" fillId="2" borderId="0" xfId="0" applyFont="1" applyFill="1"/>
    <xf numFmtId="0" fontId="114" fillId="2" borderId="20" xfId="0" applyFont="1" applyFill="1" applyBorder="1" applyAlignment="1" applyProtection="1">
      <alignment vertical="top" wrapText="1" readingOrder="1"/>
      <protection locked="0"/>
    </xf>
    <xf numFmtId="0" fontId="114" fillId="2" borderId="0" xfId="0" applyFont="1" applyFill="1" applyAlignment="1" applyProtection="1">
      <alignment vertical="top" wrapText="1" readingOrder="1"/>
      <protection locked="0"/>
    </xf>
    <xf numFmtId="3" fontId="18" fillId="2" borderId="0" xfId="0" applyNumberFormat="1" applyFont="1" applyFill="1"/>
    <xf numFmtId="3" fontId="75" fillId="2" borderId="0" xfId="0" applyNumberFormat="1" applyFont="1" applyFill="1" applyAlignment="1" applyProtection="1">
      <alignment vertical="top" wrapText="1" readingOrder="1"/>
      <protection locked="0"/>
    </xf>
    <xf numFmtId="3" fontId="61" fillId="2" borderId="0" xfId="0" applyNumberFormat="1" applyFont="1" applyFill="1"/>
    <xf numFmtId="3" fontId="75" fillId="2" borderId="0" xfId="0" applyNumberFormat="1" applyFont="1" applyFill="1" applyAlignment="1" applyProtection="1">
      <alignment horizontal="right" vertical="top" wrapText="1" readingOrder="1"/>
      <protection locked="0"/>
    </xf>
    <xf numFmtId="167" fontId="22" fillId="2" borderId="0" xfId="0" applyNumberFormat="1" applyFont="1" applyFill="1" applyAlignment="1" applyProtection="1">
      <alignment vertical="top" wrapText="1" readingOrder="1"/>
      <protection locked="0"/>
    </xf>
    <xf numFmtId="167" fontId="18" fillId="2" borderId="0" xfId="0" applyNumberFormat="1" applyFont="1" applyFill="1"/>
    <xf numFmtId="167" fontId="22" fillId="2" borderId="0" xfId="0" applyNumberFormat="1" applyFont="1" applyFill="1" applyAlignment="1" applyProtection="1">
      <alignment vertical="top" readingOrder="1"/>
      <protection locked="0"/>
    </xf>
    <xf numFmtId="167" fontId="21" fillId="2" borderId="0" xfId="0" applyNumberFormat="1" applyFont="1" applyFill="1" applyAlignment="1" applyProtection="1">
      <alignment vertical="top" wrapText="1" readingOrder="1"/>
      <protection locked="0"/>
    </xf>
    <xf numFmtId="167" fontId="21" fillId="2" borderId="0" xfId="0" applyNumberFormat="1" applyFont="1" applyFill="1" applyAlignment="1" applyProtection="1">
      <alignment horizontal="right" vertical="top" wrapText="1" readingOrder="1"/>
      <protection locked="0"/>
    </xf>
    <xf numFmtId="165" fontId="61" fillId="2" borderId="0" xfId="1" applyNumberFormat="1" applyFont="1" applyFill="1" applyAlignment="1">
      <alignment horizontal="right" vertical="top"/>
    </xf>
    <xf numFmtId="0" fontId="61" fillId="2" borderId="0" xfId="0" applyFont="1" applyFill="1" applyBorder="1"/>
    <xf numFmtId="165" fontId="61" fillId="2" borderId="0" xfId="1" applyNumberFormat="1" applyFont="1" applyFill="1" applyBorder="1" applyAlignment="1">
      <alignment horizontal="right" vertical="top"/>
    </xf>
    <xf numFmtId="0" fontId="75" fillId="2" borderId="0" xfId="0" applyFont="1" applyFill="1" applyAlignment="1" applyProtection="1">
      <alignment horizontal="left" vertical="top" wrapText="1" readingOrder="1"/>
      <protection locked="0"/>
    </xf>
    <xf numFmtId="3" fontId="18" fillId="2" borderId="0" xfId="1" applyNumberFormat="1" applyFont="1" applyFill="1" applyAlignment="1">
      <alignment horizontal="right"/>
    </xf>
    <xf numFmtId="0" fontId="17" fillId="2" borderId="0" xfId="0" applyFont="1" applyFill="1" applyAlignment="1" applyProtection="1">
      <alignment horizontal="left"/>
      <protection locked="0"/>
    </xf>
    <xf numFmtId="0" fontId="17" fillId="2" borderId="0" xfId="0" applyFont="1" applyFill="1" applyAlignment="1" applyProtection="1">
      <alignment horizontal="left" vertical="top" wrapText="1"/>
      <protection locked="0"/>
    </xf>
    <xf numFmtId="0" fontId="17" fillId="2" borderId="0" xfId="0" applyFont="1" applyFill="1" applyAlignment="1" applyProtection="1">
      <alignment horizontal="left" wrapText="1"/>
      <protection locked="0"/>
    </xf>
    <xf numFmtId="0" fontId="17" fillId="2" borderId="0" xfId="0" applyFont="1" applyFill="1" applyBorder="1" applyAlignment="1">
      <alignment horizontal="left" wrapText="1"/>
    </xf>
    <xf numFmtId="0" fontId="21" fillId="2" borderId="20" xfId="0" applyFont="1" applyFill="1" applyBorder="1" applyAlignment="1" applyProtection="1">
      <alignment horizontal="left" wrapText="1"/>
      <protection locked="0"/>
    </xf>
    <xf numFmtId="3" fontId="17" fillId="2" borderId="0" xfId="1" applyNumberFormat="1" applyFont="1" applyFill="1" applyAlignment="1">
      <alignment horizontal="right" vertical="top"/>
    </xf>
    <xf numFmtId="3" fontId="17" fillId="2" borderId="0" xfId="0" applyNumberFormat="1" applyFont="1" applyFill="1" applyAlignment="1" applyProtection="1">
      <alignment horizontal="right" vertical="top" wrapText="1"/>
      <protection locked="0"/>
    </xf>
    <xf numFmtId="3" fontId="17" fillId="2" borderId="0" xfId="1" applyNumberFormat="1" applyFont="1" applyFill="1" applyBorder="1" applyAlignment="1">
      <alignment horizontal="right" vertical="top"/>
    </xf>
    <xf numFmtId="3" fontId="18" fillId="2" borderId="0" xfId="288" applyNumberFormat="1" applyFont="1" applyFill="1" applyBorder="1" applyAlignment="1">
      <alignment horizontal="right"/>
    </xf>
    <xf numFmtId="3" fontId="18" fillId="2" borderId="0" xfId="0" applyNumberFormat="1" applyFont="1" applyFill="1" applyAlignment="1" applyProtection="1">
      <alignment horizontal="right" wrapText="1"/>
      <protection locked="0"/>
    </xf>
    <xf numFmtId="3" fontId="17" fillId="2" borderId="0" xfId="0" applyNumberFormat="1" applyFont="1" applyFill="1" applyAlignment="1"/>
    <xf numFmtId="167" fontId="18" fillId="2" borderId="0" xfId="288" applyNumberFormat="1" applyFont="1" applyFill="1" applyBorder="1" applyAlignment="1">
      <alignment horizontal="right"/>
    </xf>
    <xf numFmtId="167" fontId="18" fillId="2" borderId="0" xfId="0" applyNumberFormat="1" applyFont="1" applyFill="1" applyAlignment="1" applyProtection="1">
      <alignment horizontal="right" wrapText="1"/>
      <protection locked="0"/>
    </xf>
    <xf numFmtId="0" fontId="17" fillId="2" borderId="0" xfId="0" applyFont="1" applyFill="1" applyBorder="1" applyAlignment="1">
      <alignment horizontal="left" vertical="center" wrapText="1"/>
    </xf>
    <xf numFmtId="0" fontId="21" fillId="2" borderId="20" xfId="0" applyFont="1" applyFill="1" applyBorder="1" applyAlignment="1" applyProtection="1">
      <alignment horizontal="left" vertical="top" wrapText="1"/>
      <protection locked="0"/>
    </xf>
    <xf numFmtId="3" fontId="17" fillId="2" borderId="0" xfId="288" applyNumberFormat="1" applyFont="1" applyFill="1" applyBorder="1" applyAlignment="1">
      <alignment horizontal="right"/>
    </xf>
    <xf numFmtId="3" fontId="17" fillId="2" borderId="0" xfId="0" applyNumberFormat="1" applyFont="1" applyFill="1" applyAlignment="1" applyProtection="1">
      <alignment horizontal="right" wrapText="1"/>
      <protection locked="0"/>
    </xf>
    <xf numFmtId="3" fontId="17" fillId="2" borderId="0" xfId="288" applyNumberFormat="1" applyFont="1" applyFill="1" applyAlignment="1">
      <alignment horizontal="right"/>
    </xf>
    <xf numFmtId="0" fontId="17" fillId="2" borderId="0" xfId="0" applyFont="1" applyFill="1" applyAlignment="1">
      <alignment horizontal="left" wrapText="1"/>
    </xf>
    <xf numFmtId="167" fontId="18" fillId="2" borderId="0" xfId="1" applyNumberFormat="1" applyFont="1" applyFill="1" applyAlignment="1">
      <alignment horizontal="right"/>
    </xf>
    <xf numFmtId="0" fontId="75" fillId="2" borderId="20" xfId="0" applyFont="1" applyFill="1" applyBorder="1" applyAlignment="1" applyProtection="1">
      <alignment vertical="top" wrapText="1" readingOrder="1"/>
      <protection locked="0"/>
    </xf>
    <xf numFmtId="0" fontId="61" fillId="2" borderId="20" xfId="0" applyFont="1" applyFill="1" applyBorder="1"/>
    <xf numFmtId="165" fontId="61" fillId="2" borderId="0" xfId="0" applyNumberFormat="1" applyFont="1" applyFill="1" applyAlignment="1">
      <alignment horizontal="right" wrapText="1"/>
    </xf>
    <xf numFmtId="165" fontId="23" fillId="2" borderId="0" xfId="0" applyNumberFormat="1" applyFont="1" applyFill="1" applyAlignment="1">
      <alignment horizontal="right" vertical="top" wrapText="1"/>
    </xf>
    <xf numFmtId="165" fontId="18" fillId="2" borderId="0" xfId="0" applyNumberFormat="1" applyFont="1" applyFill="1" applyAlignment="1">
      <alignment horizontal="right" wrapText="1"/>
    </xf>
    <xf numFmtId="0" fontId="21" fillId="2" borderId="11" xfId="0" applyFont="1" applyFill="1" applyBorder="1" applyAlignment="1">
      <alignment horizontal="left" vertical="top" readingOrder="1"/>
    </xf>
    <xf numFmtId="0" fontId="0" fillId="0" borderId="18" xfId="0" applyBorder="1"/>
    <xf numFmtId="0" fontId="0" fillId="0" borderId="19" xfId="0" applyBorder="1"/>
    <xf numFmtId="0" fontId="72" fillId="34" borderId="0" xfId="5" applyFont="1" applyFill="1" applyAlignment="1">
      <alignment horizontal="left" wrapText="1"/>
    </xf>
    <xf numFmtId="0" fontId="17" fillId="2" borderId="0" xfId="0" applyFont="1" applyFill="1" applyAlignment="1" applyProtection="1">
      <alignment horizontal="left" vertical="top" wrapText="1" readingOrder="1"/>
      <protection locked="0"/>
    </xf>
    <xf numFmtId="0" fontId="51" fillId="0" borderId="0" xfId="9" applyFont="1" applyAlignment="1" applyProtection="1">
      <alignment horizontal="left" vertical="top" wrapText="1" readingOrder="1"/>
      <protection locked="0"/>
    </xf>
    <xf numFmtId="0" fontId="73" fillId="0" borderId="0" xfId="3" applyFont="1" applyAlignment="1" applyProtection="1">
      <alignment horizontal="left" vertical="top" wrapText="1" readingOrder="1"/>
      <protection locked="0"/>
    </xf>
    <xf numFmtId="0" fontId="61" fillId="2" borderId="0" xfId="4" applyFont="1" applyFill="1" applyAlignment="1">
      <alignment horizontal="left" vertical="top" wrapText="1"/>
    </xf>
    <xf numFmtId="0" fontId="21" fillId="2" borderId="17" xfId="0" applyFont="1" applyFill="1" applyBorder="1" applyAlignment="1">
      <alignment horizontal="left" vertical="top" readingOrder="1"/>
    </xf>
    <xf numFmtId="0" fontId="21" fillId="2" borderId="18" xfId="0" applyFont="1" applyFill="1" applyBorder="1" applyAlignment="1">
      <alignment horizontal="left" vertical="top" readingOrder="1"/>
    </xf>
    <xf numFmtId="0" fontId="21" fillId="2" borderId="19" xfId="0" applyFont="1" applyFill="1" applyBorder="1" applyAlignment="1">
      <alignment horizontal="left" vertical="top" readingOrder="1"/>
    </xf>
    <xf numFmtId="0" fontId="21" fillId="2" borderId="11" xfId="0" applyFont="1" applyFill="1" applyBorder="1" applyAlignment="1">
      <alignment horizontal="left" vertical="top" wrapText="1" readingOrder="1"/>
    </xf>
    <xf numFmtId="0" fontId="47" fillId="2" borderId="0" xfId="0" applyFont="1" applyFill="1" applyAlignment="1" applyProtection="1">
      <alignment horizontal="left" vertical="top" wrapText="1"/>
      <protection locked="0"/>
    </xf>
    <xf numFmtId="0" fontId="47" fillId="2" borderId="0" xfId="0" applyFont="1" applyFill="1" applyAlignment="1" applyProtection="1">
      <alignment vertical="top" wrapText="1"/>
      <protection locked="0"/>
    </xf>
    <xf numFmtId="0" fontId="69" fillId="2" borderId="0" xfId="0" applyFont="1" applyFill="1" applyAlignment="1">
      <alignment horizontal="left" vertical="center" wrapText="1"/>
    </xf>
    <xf numFmtId="0" fontId="70" fillId="2" borderId="0" xfId="0" applyFont="1" applyFill="1" applyAlignment="1">
      <alignment horizontal="left" vertical="center" wrapText="1"/>
    </xf>
    <xf numFmtId="0" fontId="71" fillId="0" borderId="0" xfId="0" applyFont="1" applyAlignment="1">
      <alignment wrapText="1"/>
    </xf>
    <xf numFmtId="0" fontId="22" fillId="2" borderId="11" xfId="0" applyFont="1" applyFill="1" applyBorder="1" applyAlignment="1" applyProtection="1">
      <alignment horizontal="left" vertical="top" wrapText="1" readingOrder="1"/>
      <protection locked="0"/>
    </xf>
    <xf numFmtId="0" fontId="0" fillId="0" borderId="18" xfId="0" applyBorder="1" applyProtection="1">
      <protection locked="0"/>
    </xf>
    <xf numFmtId="0" fontId="0" fillId="0" borderId="19" xfId="0" applyBorder="1" applyProtection="1">
      <protection locked="0"/>
    </xf>
    <xf numFmtId="0" fontId="72" fillId="34" borderId="0" xfId="5" applyFont="1" applyFill="1" applyAlignment="1">
      <alignment horizontal="left" vertical="top" wrapText="1"/>
    </xf>
    <xf numFmtId="0" fontId="19" fillId="2" borderId="0" xfId="0" applyFont="1" applyFill="1" applyAlignment="1" applyProtection="1">
      <alignment vertical="top" readingOrder="1"/>
      <protection locked="0"/>
    </xf>
    <xf numFmtId="0" fontId="19" fillId="2" borderId="0" xfId="0" applyFont="1" applyFill="1" applyAlignment="1" applyProtection="1">
      <alignment horizontal="left" vertical="top" readingOrder="1"/>
      <protection locked="0"/>
    </xf>
    <xf numFmtId="0" fontId="21" fillId="2" borderId="0" xfId="0" applyFont="1" applyFill="1" applyAlignment="1" applyProtection="1">
      <alignment horizontal="left" vertical="top" wrapText="1" readingOrder="1"/>
      <protection locked="0"/>
    </xf>
    <xf numFmtId="0" fontId="22" fillId="2" borderId="0" xfId="0" applyFont="1" applyFill="1" applyAlignment="1" applyProtection="1">
      <alignment horizontal="left" vertical="top" wrapText="1"/>
      <protection locked="0"/>
    </xf>
    <xf numFmtId="0" fontId="22" fillId="2" borderId="34" xfId="0" applyFont="1" applyFill="1" applyBorder="1" applyAlignment="1" applyProtection="1">
      <alignment horizontal="center" wrapText="1" readingOrder="1"/>
      <protection locked="0"/>
    </xf>
    <xf numFmtId="0" fontId="18" fillId="2" borderId="34" xfId="0" applyFont="1" applyFill="1" applyBorder="1" applyAlignment="1">
      <alignment horizontal="center"/>
    </xf>
    <xf numFmtId="0" fontId="22" fillId="2" borderId="0" xfId="0" applyFont="1" applyFill="1" applyAlignment="1" applyProtection="1">
      <alignment horizontal="left" vertical="top" wrapText="1" readingOrder="1"/>
      <protection locked="0"/>
    </xf>
    <xf numFmtId="0" fontId="75" fillId="2" borderId="0" xfId="0" applyFont="1" applyFill="1" applyAlignment="1" applyProtection="1">
      <alignment horizontal="left" vertical="top" wrapText="1" readingOrder="1"/>
      <protection locked="0"/>
    </xf>
    <xf numFmtId="0" fontId="19" fillId="2" borderId="0" xfId="0" applyFont="1" applyFill="1" applyAlignment="1" applyProtection="1">
      <alignment horizontal="left" vertical="top" wrapText="1" readingOrder="1"/>
      <protection locked="0"/>
    </xf>
    <xf numFmtId="0" fontId="17" fillId="2" borderId="63" xfId="0" applyFont="1" applyFill="1" applyBorder="1" applyAlignment="1">
      <alignment horizontal="center"/>
    </xf>
    <xf numFmtId="0" fontId="17" fillId="2" borderId="23" xfId="0" applyFont="1" applyFill="1" applyBorder="1" applyAlignment="1">
      <alignment horizontal="center"/>
    </xf>
    <xf numFmtId="0" fontId="18" fillId="2" borderId="28" xfId="0" applyFont="1" applyFill="1" applyBorder="1" applyAlignment="1">
      <alignment horizontal="center"/>
    </xf>
    <xf numFmtId="0" fontId="21" fillId="2" borderId="0" xfId="0" applyFont="1" applyFill="1" applyAlignment="1" applyProtection="1">
      <alignment vertical="top" wrapText="1" readingOrder="1"/>
      <protection locked="0"/>
    </xf>
    <xf numFmtId="0" fontId="18" fillId="2" borderId="53" xfId="0" applyFont="1" applyFill="1" applyBorder="1" applyAlignment="1">
      <alignment horizontal="left" vertical="center" wrapText="1"/>
    </xf>
    <xf numFmtId="0" fontId="18" fillId="2" borderId="40" xfId="0" applyFont="1" applyFill="1" applyBorder="1" applyAlignment="1">
      <alignment horizontal="left" vertical="center" wrapText="1"/>
    </xf>
    <xf numFmtId="0" fontId="18" fillId="2" borderId="54" xfId="0" applyFont="1" applyFill="1" applyBorder="1" applyAlignment="1">
      <alignment horizontal="left" vertical="center" wrapText="1"/>
    </xf>
    <xf numFmtId="0" fontId="18" fillId="2" borderId="55" xfId="0" applyFont="1" applyFill="1" applyBorder="1" applyAlignment="1">
      <alignment horizontal="left" vertical="center" wrapText="1"/>
    </xf>
    <xf numFmtId="0" fontId="18" fillId="2" borderId="20" xfId="0" applyFont="1" applyFill="1" applyBorder="1" applyAlignment="1">
      <alignment horizontal="left" vertical="center" wrapText="1"/>
    </xf>
    <xf numFmtId="0" fontId="18" fillId="2" borderId="56" xfId="0" applyFont="1" applyFill="1" applyBorder="1" applyAlignment="1">
      <alignment horizontal="left" vertical="center" wrapText="1"/>
    </xf>
    <xf numFmtId="0" fontId="17" fillId="2" borderId="34" xfId="0" applyFont="1" applyFill="1" applyBorder="1" applyAlignment="1">
      <alignment horizontal="center" vertical="center"/>
    </xf>
    <xf numFmtId="0" fontId="17" fillId="2" borderId="58" xfId="0" applyFont="1" applyFill="1" applyBorder="1" applyAlignment="1">
      <alignment horizontal="center" vertical="center"/>
    </xf>
    <xf numFmtId="0" fontId="17" fillId="2" borderId="64" xfId="0" applyFont="1" applyFill="1" applyBorder="1" applyAlignment="1">
      <alignment horizontal="center" vertical="center"/>
    </xf>
    <xf numFmtId="0" fontId="17" fillId="2" borderId="59" xfId="0" applyFont="1" applyFill="1" applyBorder="1" applyAlignment="1">
      <alignment horizontal="center" vertical="center"/>
    </xf>
    <xf numFmtId="0" fontId="17" fillId="2" borderId="28" xfId="0" applyFont="1" applyFill="1" applyBorder="1" applyAlignment="1">
      <alignment horizontal="center" vertical="center"/>
    </xf>
    <xf numFmtId="0" fontId="17" fillId="2" borderId="61" xfId="0" applyFont="1" applyFill="1" applyBorder="1" applyAlignment="1">
      <alignment horizontal="center" vertical="center"/>
    </xf>
    <xf numFmtId="0" fontId="22" fillId="2" borderId="28" xfId="0" applyFont="1" applyFill="1" applyBorder="1" applyAlignment="1" applyProtection="1">
      <alignment horizontal="center" wrapText="1" readingOrder="1"/>
      <protection locked="0"/>
    </xf>
    <xf numFmtId="0" fontId="17" fillId="0" borderId="0" xfId="9" applyAlignment="1">
      <alignment horizontal="left" wrapText="1"/>
    </xf>
    <xf numFmtId="0" fontId="51" fillId="2" borderId="0" xfId="0" applyFont="1" applyFill="1" applyAlignment="1" applyProtection="1">
      <alignment horizontal="left" vertical="top" wrapText="1" readingOrder="1"/>
      <protection locked="0"/>
    </xf>
    <xf numFmtId="0" fontId="0" fillId="0" borderId="0" xfId="0"/>
    <xf numFmtId="0" fontId="21" fillId="2" borderId="0" xfId="0" quotePrefix="1" applyFont="1" applyFill="1" applyAlignment="1" applyProtection="1">
      <alignment horizontal="left" vertical="top" wrapText="1" readingOrder="1"/>
      <protection locked="0"/>
    </xf>
    <xf numFmtId="0" fontId="22" fillId="2" borderId="32" xfId="0" applyFont="1" applyFill="1" applyBorder="1" applyAlignment="1" applyProtection="1">
      <alignment horizontal="center" wrapText="1" readingOrder="1"/>
      <protection locked="0"/>
    </xf>
    <xf numFmtId="0" fontId="18" fillId="2" borderId="40" xfId="0" applyFont="1" applyFill="1" applyBorder="1" applyAlignment="1">
      <alignment horizontal="center"/>
    </xf>
    <xf numFmtId="0" fontId="18" fillId="2" borderId="32" xfId="0" applyFont="1" applyFill="1" applyBorder="1" applyAlignment="1">
      <alignment horizontal="center"/>
    </xf>
    <xf numFmtId="0" fontId="17" fillId="0" borderId="0" xfId="0" applyFont="1" applyAlignment="1" applyProtection="1">
      <alignment horizontal="left" vertical="top" wrapText="1" readingOrder="1"/>
      <protection locked="0"/>
    </xf>
    <xf numFmtId="0" fontId="17" fillId="0" borderId="0" xfId="0" applyFont="1" applyAlignment="1" applyProtection="1">
      <alignment horizontal="left" vertical="top" readingOrder="1"/>
      <protection locked="0"/>
    </xf>
    <xf numFmtId="0" fontId="50" fillId="0" borderId="0" xfId="0" applyFont="1" applyAlignment="1" applyProtection="1">
      <alignment horizontal="left" vertical="top" wrapText="1" readingOrder="1"/>
      <protection locked="0"/>
    </xf>
    <xf numFmtId="3" fontId="18" fillId="0" borderId="23" xfId="53" applyNumberFormat="1" applyFont="1" applyBorder="1" applyAlignment="1">
      <alignment horizontal="center" wrapText="1"/>
    </xf>
    <xf numFmtId="3" fontId="18" fillId="0" borderId="23" xfId="53" applyNumberFormat="1" applyFont="1" applyBorder="1" applyAlignment="1">
      <alignment horizontal="center"/>
    </xf>
    <xf numFmtId="0" fontId="21" fillId="2" borderId="0" xfId="107" applyFont="1" applyFill="1" applyAlignment="1" applyProtection="1">
      <alignment horizontal="left" vertical="top" wrapText="1" readingOrder="1"/>
      <protection locked="0"/>
    </xf>
    <xf numFmtId="0" fontId="17" fillId="0" borderId="0" xfId="106" applyNumberFormat="1" applyFont="1" applyAlignment="1">
      <alignment horizontal="left" vertical="top" wrapText="1"/>
    </xf>
    <xf numFmtId="0" fontId="29" fillId="0" borderId="28" xfId="108" applyFont="1" applyBorder="1" applyAlignment="1">
      <alignment horizontal="center" vertical="center"/>
    </xf>
    <xf numFmtId="0" fontId="44" fillId="0" borderId="42" xfId="0" applyFont="1" applyBorder="1" applyAlignment="1">
      <alignment horizontal="center" vertical="top" wrapText="1"/>
    </xf>
    <xf numFmtId="0" fontId="44" fillId="0" borderId="43" xfId="0" applyFont="1" applyBorder="1" applyAlignment="1">
      <alignment horizontal="center" vertical="top" wrapText="1"/>
    </xf>
    <xf numFmtId="0" fontId="44" fillId="0" borderId="44" xfId="0" applyFont="1" applyBorder="1" applyAlignment="1">
      <alignment horizontal="center" vertical="top" wrapText="1"/>
    </xf>
    <xf numFmtId="0" fontId="98" fillId="2" borderId="0" xfId="0" applyFont="1" applyFill="1" applyAlignment="1" applyProtection="1">
      <alignment horizontal="left" vertical="top" wrapText="1" readingOrder="1"/>
      <protection locked="0"/>
    </xf>
    <xf numFmtId="0" fontId="94" fillId="0" borderId="42" xfId="0" applyFont="1" applyBorder="1" applyAlignment="1">
      <alignment horizontal="center" vertical="top" wrapText="1"/>
    </xf>
    <xf numFmtId="0" fontId="94" fillId="0" borderId="43" xfId="0" applyFont="1" applyBorder="1" applyAlignment="1">
      <alignment horizontal="center" vertical="top" wrapText="1"/>
    </xf>
    <xf numFmtId="0" fontId="94" fillId="0" borderId="44" xfId="0" applyFont="1" applyBorder="1" applyAlignment="1">
      <alignment horizontal="center" vertical="top" wrapText="1"/>
    </xf>
    <xf numFmtId="3" fontId="21" fillId="2" borderId="0" xfId="0" applyNumberFormat="1" applyFont="1" applyFill="1" applyAlignment="1" applyProtection="1">
      <alignment horizontal="left" vertical="top" wrapText="1" readingOrder="1"/>
      <protection locked="0"/>
    </xf>
    <xf numFmtId="3" fontId="98" fillId="2" borderId="0" xfId="0" applyNumberFormat="1" applyFont="1" applyFill="1" applyAlignment="1" applyProtection="1">
      <alignment horizontal="left" vertical="top" wrapText="1" readingOrder="1"/>
      <protection locked="0"/>
    </xf>
    <xf numFmtId="0" fontId="0" fillId="0" borderId="0" xfId="0" applyAlignment="1">
      <alignment horizontal="left" vertical="top" wrapText="1"/>
    </xf>
    <xf numFmtId="0" fontId="62" fillId="0" borderId="0" xfId="0" applyFont="1" applyAlignment="1">
      <alignment horizontal="left" vertical="top" wrapText="1"/>
    </xf>
    <xf numFmtId="167" fontId="17" fillId="2" borderId="0" xfId="1" applyNumberFormat="1" applyFont="1" applyFill="1" applyAlignment="1">
      <alignment horizontal="right" vertical="top" wrapText="1"/>
    </xf>
    <xf numFmtId="0" fontId="18" fillId="2" borderId="0" xfId="0" applyFont="1" applyFill="1" applyBorder="1" applyAlignment="1">
      <alignment horizontal="left" vertical="center" wrapText="1"/>
    </xf>
    <xf numFmtId="3" fontId="17" fillId="2" borderId="0" xfId="0" applyNumberFormat="1" applyFont="1" applyFill="1" applyBorder="1" applyAlignment="1">
      <alignment horizontal="right" vertical="top"/>
    </xf>
    <xf numFmtId="3" fontId="17" fillId="2" borderId="20" xfId="0" applyNumberFormat="1" applyFont="1" applyFill="1" applyBorder="1" applyAlignment="1">
      <alignment horizontal="right" vertical="top"/>
    </xf>
    <xf numFmtId="0" fontId="17" fillId="2" borderId="0" xfId="0" applyFont="1" applyFill="1" applyBorder="1" applyAlignment="1" applyProtection="1">
      <alignment horizontal="left" vertical="top" wrapText="1"/>
      <protection locked="0"/>
    </xf>
    <xf numFmtId="3" fontId="61" fillId="0" borderId="0" xfId="0" applyNumberFormat="1" applyFont="1" applyAlignment="1">
      <alignment horizontal="right"/>
    </xf>
  </cellXfs>
  <cellStyles count="368">
    <cellStyle name="20% - Accent1" xfId="30" builtinId="30" customBuiltin="1"/>
    <cellStyle name="20% - Accent1 2" xfId="64"/>
    <cellStyle name="20% - Accent1 2 2" xfId="143"/>
    <cellStyle name="20% - Accent1 2 2 2" xfId="293"/>
    <cellStyle name="20% - Accent1 2 3" xfId="238"/>
    <cellStyle name="20% - Accent1 3" xfId="123"/>
    <cellStyle name="20% - Accent1 3 2" xfId="274"/>
    <cellStyle name="20% - Accent1 4" xfId="199"/>
    <cellStyle name="20% - Accent1 4 2" xfId="345"/>
    <cellStyle name="20% - Accent2" xfId="34" builtinId="34" customBuiltin="1"/>
    <cellStyle name="20% - Accent2 2" xfId="66"/>
    <cellStyle name="20% - Accent2 2 2" xfId="145"/>
    <cellStyle name="20% - Accent2 2 2 2" xfId="295"/>
    <cellStyle name="20% - Accent2 2 3" xfId="240"/>
    <cellStyle name="20% - Accent2 3" xfId="125"/>
    <cellStyle name="20% - Accent2 3 2" xfId="276"/>
    <cellStyle name="20% - Accent2 4" xfId="203"/>
    <cellStyle name="20% - Accent2 4 2" xfId="349"/>
    <cellStyle name="20% - Accent3" xfId="38" builtinId="38" customBuiltin="1"/>
    <cellStyle name="20% - Accent3 2" xfId="68"/>
    <cellStyle name="20% - Accent3 2 2" xfId="147"/>
    <cellStyle name="20% - Accent3 2 2 2" xfId="297"/>
    <cellStyle name="20% - Accent3 2 3" xfId="242"/>
    <cellStyle name="20% - Accent3 3" xfId="127"/>
    <cellStyle name="20% - Accent3 3 2" xfId="278"/>
    <cellStyle name="20% - Accent3 4" xfId="207"/>
    <cellStyle name="20% - Accent3 4 2" xfId="353"/>
    <cellStyle name="20% - Accent4" xfId="42" builtinId="42" customBuiltin="1"/>
    <cellStyle name="20% - Accent4 2" xfId="70"/>
    <cellStyle name="20% - Accent4 2 2" xfId="149"/>
    <cellStyle name="20% - Accent4 2 2 2" xfId="299"/>
    <cellStyle name="20% - Accent4 2 3" xfId="244"/>
    <cellStyle name="20% - Accent4 3" xfId="129"/>
    <cellStyle name="20% - Accent4 3 2" xfId="280"/>
    <cellStyle name="20% - Accent4 4" xfId="211"/>
    <cellStyle name="20% - Accent4 4 2" xfId="357"/>
    <cellStyle name="20% - Accent5" xfId="46" builtinId="46" customBuiltin="1"/>
    <cellStyle name="20% - Accent5 2" xfId="72"/>
    <cellStyle name="20% - Accent5 2 2" xfId="151"/>
    <cellStyle name="20% - Accent5 2 2 2" xfId="301"/>
    <cellStyle name="20% - Accent5 2 3" xfId="246"/>
    <cellStyle name="20% - Accent5 3" xfId="131"/>
    <cellStyle name="20% - Accent5 3 2" xfId="282"/>
    <cellStyle name="20% - Accent5 4" xfId="215"/>
    <cellStyle name="20% - Accent5 4 2" xfId="361"/>
    <cellStyle name="20% - Accent6" xfId="50" builtinId="50" customBuiltin="1"/>
    <cellStyle name="20% - Accent6 2" xfId="74"/>
    <cellStyle name="20% - Accent6 2 2" xfId="153"/>
    <cellStyle name="20% - Accent6 2 2 2" xfId="303"/>
    <cellStyle name="20% - Accent6 2 3" xfId="248"/>
    <cellStyle name="20% - Accent6 3" xfId="133"/>
    <cellStyle name="20% - Accent6 3 2" xfId="284"/>
    <cellStyle name="20% - Accent6 4" xfId="219"/>
    <cellStyle name="20% - Accent6 4 2" xfId="365"/>
    <cellStyle name="40% - Accent1" xfId="31" builtinId="31" customBuiltin="1"/>
    <cellStyle name="40% - Accent1 2" xfId="65"/>
    <cellStyle name="40% - Accent1 2 2" xfId="144"/>
    <cellStyle name="40% - Accent1 2 2 2" xfId="294"/>
    <cellStyle name="40% - Accent1 2 3" xfId="239"/>
    <cellStyle name="40% - Accent1 3" xfId="124"/>
    <cellStyle name="40% - Accent1 3 2" xfId="275"/>
    <cellStyle name="40% - Accent1 4" xfId="200"/>
    <cellStyle name="40% - Accent1 4 2" xfId="346"/>
    <cellStyle name="40% - Accent2" xfId="35" builtinId="35" customBuiltin="1"/>
    <cellStyle name="40% - Accent2 2" xfId="67"/>
    <cellStyle name="40% - Accent2 2 2" xfId="146"/>
    <cellStyle name="40% - Accent2 2 2 2" xfId="296"/>
    <cellStyle name="40% - Accent2 2 3" xfId="241"/>
    <cellStyle name="40% - Accent2 3" xfId="126"/>
    <cellStyle name="40% - Accent2 3 2" xfId="277"/>
    <cellStyle name="40% - Accent2 4" xfId="204"/>
    <cellStyle name="40% - Accent2 4 2" xfId="350"/>
    <cellStyle name="40% - Accent3" xfId="39" builtinId="39" customBuiltin="1"/>
    <cellStyle name="40% - Accent3 2" xfId="69"/>
    <cellStyle name="40% - Accent3 2 2" xfId="148"/>
    <cellStyle name="40% - Accent3 2 2 2" xfId="298"/>
    <cellStyle name="40% - Accent3 2 3" xfId="243"/>
    <cellStyle name="40% - Accent3 3" xfId="128"/>
    <cellStyle name="40% - Accent3 3 2" xfId="279"/>
    <cellStyle name="40% - Accent3 4" xfId="208"/>
    <cellStyle name="40% - Accent3 4 2" xfId="354"/>
    <cellStyle name="40% - Accent4" xfId="43" builtinId="43" customBuiltin="1"/>
    <cellStyle name="40% - Accent4 2" xfId="71"/>
    <cellStyle name="40% - Accent4 2 2" xfId="150"/>
    <cellStyle name="40% - Accent4 2 2 2" xfId="300"/>
    <cellStyle name="40% - Accent4 2 3" xfId="245"/>
    <cellStyle name="40% - Accent4 3" xfId="130"/>
    <cellStyle name="40% - Accent4 3 2" xfId="281"/>
    <cellStyle name="40% - Accent4 4" xfId="212"/>
    <cellStyle name="40% - Accent4 4 2" xfId="358"/>
    <cellStyle name="40% - Accent5" xfId="47" builtinId="47" customBuiltin="1"/>
    <cellStyle name="40% - Accent5 2" xfId="73"/>
    <cellStyle name="40% - Accent5 2 2" xfId="152"/>
    <cellStyle name="40% - Accent5 2 2 2" xfId="302"/>
    <cellStyle name="40% - Accent5 2 3" xfId="247"/>
    <cellStyle name="40% - Accent5 3" xfId="132"/>
    <cellStyle name="40% - Accent5 3 2" xfId="283"/>
    <cellStyle name="40% - Accent5 4" xfId="216"/>
    <cellStyle name="40% - Accent5 4 2" xfId="362"/>
    <cellStyle name="40% - Accent6" xfId="51" builtinId="51" customBuiltin="1"/>
    <cellStyle name="40% - Accent6 2" xfId="75"/>
    <cellStyle name="40% - Accent6 2 2" xfId="154"/>
    <cellStyle name="40% - Accent6 2 2 2" xfId="304"/>
    <cellStyle name="40% - Accent6 2 3" xfId="249"/>
    <cellStyle name="40% - Accent6 3" xfId="134"/>
    <cellStyle name="40% - Accent6 3 2" xfId="285"/>
    <cellStyle name="40% - Accent6 4" xfId="220"/>
    <cellStyle name="40% - Accent6 4 2" xfId="366"/>
    <cellStyle name="60% - Accent1" xfId="32" builtinId="32" customBuiltin="1"/>
    <cellStyle name="60% - Accent1 2" xfId="201"/>
    <cellStyle name="60% - Accent1 2 2" xfId="347"/>
    <cellStyle name="60% - Accent2" xfId="36" builtinId="36" customBuiltin="1"/>
    <cellStyle name="60% - Accent2 2" xfId="205"/>
    <cellStyle name="60% - Accent2 2 2" xfId="351"/>
    <cellStyle name="60% - Accent3" xfId="40" builtinId="40" customBuiltin="1"/>
    <cellStyle name="60% - Accent3 2" xfId="209"/>
    <cellStyle name="60% - Accent3 2 2" xfId="355"/>
    <cellStyle name="60% - Accent4" xfId="44" builtinId="44" customBuiltin="1"/>
    <cellStyle name="60% - Accent4 2" xfId="213"/>
    <cellStyle name="60% - Accent4 2 2" xfId="359"/>
    <cellStyle name="60% - Accent5" xfId="48" builtinId="48" customBuiltin="1"/>
    <cellStyle name="60% - Accent5 2" xfId="217"/>
    <cellStyle name="60% - Accent5 2 2" xfId="363"/>
    <cellStyle name="60% - Accent6" xfId="52" builtinId="52" customBuiltin="1"/>
    <cellStyle name="60% - Accent6 2" xfId="221"/>
    <cellStyle name="60% - Accent6 2 2" xfId="367"/>
    <cellStyle name="Accent1" xfId="29" builtinId="29" customBuiltin="1"/>
    <cellStyle name="Accent1 2" xfId="198"/>
    <cellStyle name="Accent1 2 2" xfId="344"/>
    <cellStyle name="Accent2" xfId="33" builtinId="33" customBuiltin="1"/>
    <cellStyle name="Accent2 2" xfId="202"/>
    <cellStyle name="Accent2 2 2" xfId="348"/>
    <cellStyle name="Accent3" xfId="37" builtinId="37" customBuiltin="1"/>
    <cellStyle name="Accent3 2" xfId="206"/>
    <cellStyle name="Accent3 2 2" xfId="352"/>
    <cellStyle name="Accent4" xfId="41" builtinId="41" customBuiltin="1"/>
    <cellStyle name="Accent4 2" xfId="210"/>
    <cellStyle name="Accent4 2 2" xfId="356"/>
    <cellStyle name="Accent5" xfId="45" builtinId="45" customBuiltin="1"/>
    <cellStyle name="Accent5 2" xfId="214"/>
    <cellStyle name="Accent5 2 2" xfId="360"/>
    <cellStyle name="Accent6" xfId="49" builtinId="49" customBuiltin="1"/>
    <cellStyle name="Accent6 2" xfId="218"/>
    <cellStyle name="Accent6 2 2" xfId="364"/>
    <cellStyle name="Bad" xfId="19" builtinId="27" customBuiltin="1"/>
    <cellStyle name="Bad 2" xfId="187"/>
    <cellStyle name="Bad 2 2" xfId="333"/>
    <cellStyle name="Calculation" xfId="23" builtinId="22" customBuiltin="1"/>
    <cellStyle name="Calculation 2" xfId="191"/>
    <cellStyle name="Calculation 2 2" xfId="337"/>
    <cellStyle name="Check Cell" xfId="25" builtinId="23" customBuiltin="1"/>
    <cellStyle name="Check Cell 2" xfId="193"/>
    <cellStyle name="Check Cell 2 2" xfId="339"/>
    <cellStyle name="Comma" xfId="1" builtinId="3"/>
    <cellStyle name="Comma 2" xfId="56"/>
    <cellStyle name="Comma 2 2" xfId="87"/>
    <cellStyle name="Comma 2 2 2" xfId="159"/>
    <cellStyle name="Comma 2 2 2 2" xfId="309"/>
    <cellStyle name="Comma 2 2 3" xfId="176"/>
    <cellStyle name="Comma 2 2 3 2" xfId="326"/>
    <cellStyle name="Comma 2 2 4" xfId="254"/>
    <cellStyle name="Comma 2 3" xfId="104"/>
    <cellStyle name="Comma 2 3 2" xfId="162"/>
    <cellStyle name="Comma 2 3 2 2" xfId="312"/>
    <cellStyle name="Comma 2 3 3" xfId="178"/>
    <cellStyle name="Comma 2 3 3 2" xfId="328"/>
    <cellStyle name="Comma 2 3 4" xfId="261"/>
    <cellStyle name="Comma 2 4" xfId="2"/>
    <cellStyle name="Comma 2 4 2" xfId="12"/>
    <cellStyle name="Comma 2 4 2 2" xfId="122"/>
    <cellStyle name="Comma 2 4 2 2 2" xfId="273"/>
    <cellStyle name="Comma 2 4 2 3" xfId="171"/>
    <cellStyle name="Comma 2 4 2 3 2" xfId="321"/>
    <cellStyle name="Comma 2 4 2 4" xfId="228"/>
    <cellStyle name="Comma 2 4 3" xfId="57"/>
    <cellStyle name="Comma 2 4 3 2" xfId="138"/>
    <cellStyle name="Comma 2 4 3 2 2" xfId="289"/>
    <cellStyle name="Comma 2 4 3 3" xfId="173"/>
    <cellStyle name="Comma 2 4 3 3 2" xfId="323"/>
    <cellStyle name="Comma 2 4 3 4" xfId="232"/>
    <cellStyle name="Comma 2 4 4" xfId="83"/>
    <cellStyle name="Comma 2 4 4 2" xfId="157"/>
    <cellStyle name="Comma 2 4 4 2 2" xfId="307"/>
    <cellStyle name="Comma 2 4 4 3" xfId="175"/>
    <cellStyle name="Comma 2 4 4 3 2" xfId="325"/>
    <cellStyle name="Comma 2 4 4 4" xfId="252"/>
    <cellStyle name="Comma 2 4 5" xfId="106"/>
    <cellStyle name="Comma 2 4 5 2" xfId="163"/>
    <cellStyle name="Comma 2 4 5 2 2" xfId="313"/>
    <cellStyle name="Comma 2 4 5 3" xfId="179"/>
    <cellStyle name="Comma 2 4 5 3 2" xfId="329"/>
    <cellStyle name="Comma 2 4 5 4" xfId="263"/>
    <cellStyle name="Comma 2 4 6" xfId="120"/>
    <cellStyle name="Comma 2 4 6 2" xfId="271"/>
    <cellStyle name="Comma 2 4 7" xfId="170"/>
    <cellStyle name="Comma 2 4 7 2" xfId="320"/>
    <cellStyle name="Comma 2 4 8" xfId="223"/>
    <cellStyle name="Comma 2 5" xfId="137"/>
    <cellStyle name="Comma 2 5 2" xfId="288"/>
    <cellStyle name="Comma 2 6" xfId="172"/>
    <cellStyle name="Comma 2 6 2" xfId="322"/>
    <cellStyle name="Comma 2 7" xfId="231"/>
    <cellStyle name="Comma 3" xfId="100"/>
    <cellStyle name="Comma 3 2" xfId="161"/>
    <cellStyle name="Comma 3 2 2" xfId="311"/>
    <cellStyle name="Comma 3 3" xfId="177"/>
    <cellStyle name="Comma 3 3 2" xfId="327"/>
    <cellStyle name="Comma 3 4" xfId="258"/>
    <cellStyle name="Comma 4" xfId="82"/>
    <cellStyle name="Comma 4 2" xfId="156"/>
    <cellStyle name="Comma 4 2 2" xfId="306"/>
    <cellStyle name="Comma 4 3" xfId="174"/>
    <cellStyle name="Comma 4 3 2" xfId="324"/>
    <cellStyle name="Comma 4 4" xfId="251"/>
    <cellStyle name="Comma 5" xfId="117"/>
    <cellStyle name="Comma 5 2" xfId="168"/>
    <cellStyle name="Comma 5 2 2" xfId="318"/>
    <cellStyle name="Comma 5 3" xfId="184"/>
    <cellStyle name="Comma 5 3 2" xfId="330"/>
    <cellStyle name="Comma 5 4" xfId="268"/>
    <cellStyle name="Comma 6" xfId="119"/>
    <cellStyle name="Comma 6 2" xfId="270"/>
    <cellStyle name="Comma 7" xfId="169"/>
    <cellStyle name="Comma 7 2" xfId="319"/>
    <cellStyle name="Comma 8" xfId="222"/>
    <cellStyle name="Data_Total" xfId="89"/>
    <cellStyle name="Explanatory Text" xfId="27" builtinId="53" customBuiltin="1"/>
    <cellStyle name="Explanatory Text 2" xfId="196"/>
    <cellStyle name="Explanatory Text 2 2" xfId="342"/>
    <cellStyle name="Followed Hyperlink 2" xfId="60"/>
    <cellStyle name="Followed Hyperlink 2 2" xfId="234"/>
    <cellStyle name="Good" xfId="18" builtinId="26" customBuiltin="1"/>
    <cellStyle name="Good 2" xfId="186"/>
    <cellStyle name="Good 2 2" xfId="332"/>
    <cellStyle name="Heading 1" xfId="14" builtinId="16" customBuiltin="1"/>
    <cellStyle name="Heading 2" xfId="15" builtinId="17" customBuiltin="1"/>
    <cellStyle name="Heading 3" xfId="16" builtinId="18" customBuiltin="1"/>
    <cellStyle name="Heading 4" xfId="17" builtinId="19" customBuiltin="1"/>
    <cellStyle name="Headings" xfId="90"/>
    <cellStyle name="Hyperlink" xfId="3" builtinId="8"/>
    <cellStyle name="Hyperlink 2" xfId="96"/>
    <cellStyle name="Hyperlink 2 2" xfId="113"/>
    <cellStyle name="Hyperlink 2 2 2" xfId="267"/>
    <cellStyle name="Hyperlink 2 3" xfId="112"/>
    <cellStyle name="Hyperlink 2 3 2" xfId="266"/>
    <cellStyle name="Hyperlink 2 4" xfId="118"/>
    <cellStyle name="Hyperlink 2 4 2" xfId="269"/>
    <cellStyle name="Hyperlink 2 5" xfId="256"/>
    <cellStyle name="Hyperlink 3" xfId="102"/>
    <cellStyle name="Hyperlink 3 2" xfId="259"/>
    <cellStyle name="Hyperlink 4" xfId="110"/>
    <cellStyle name="Hyperlink 4 2" xfId="265"/>
    <cellStyle name="Hyperlink 5" xfId="224"/>
    <cellStyle name="Hyperlink_KP90_Final_Reference_Tables_v2" xfId="6"/>
    <cellStyle name="Input" xfId="21" builtinId="20" customBuiltin="1"/>
    <cellStyle name="Input 2" xfId="189"/>
    <cellStyle name="Input 2 2" xfId="335"/>
    <cellStyle name="Linked Cell" xfId="24" builtinId="24" customBuiltin="1"/>
    <cellStyle name="Linked Cell 2" xfId="192"/>
    <cellStyle name="Linked Cell 2 2" xfId="338"/>
    <cellStyle name="Neutral" xfId="20" builtinId="28" customBuiltin="1"/>
    <cellStyle name="Neutral 2" xfId="188"/>
    <cellStyle name="Neutral 2 2" xfId="334"/>
    <cellStyle name="Normal" xfId="0" builtinId="0"/>
    <cellStyle name="Normal 10" xfId="107"/>
    <cellStyle name="Normal 11" xfId="109"/>
    <cellStyle name="Normal 11 2" xfId="164"/>
    <cellStyle name="Normal 11 2 2" xfId="314"/>
    <cellStyle name="Normal 11 3" xfId="180"/>
    <cellStyle name="Normal 12" xfId="111"/>
    <cellStyle name="Normal 12 2" xfId="165"/>
    <cellStyle name="Normal 12 2 2" xfId="315"/>
    <cellStyle name="Normal 12 3" xfId="181"/>
    <cellStyle name="Normal 13" xfId="115"/>
    <cellStyle name="Normal 13 2" xfId="166"/>
    <cellStyle name="Normal 13 2 2" xfId="316"/>
    <cellStyle name="Normal 13 3" xfId="182"/>
    <cellStyle name="Normal 14" xfId="116"/>
    <cellStyle name="Normal 14 2" xfId="167"/>
    <cellStyle name="Normal 14 2 2" xfId="317"/>
    <cellStyle name="Normal 14 3" xfId="183"/>
    <cellStyle name="Normal 2" xfId="9"/>
    <cellStyle name="Normal 2 2" xfId="79"/>
    <cellStyle name="Normal 2 2 2" xfId="95"/>
    <cellStyle name="Normal 2 3" xfId="101"/>
    <cellStyle name="Normal 2 3 2" xfId="114"/>
    <cellStyle name="Normal 2 4" xfId="86"/>
    <cellStyle name="Normal 2 5" xfId="78"/>
    <cellStyle name="Normal 2 6" xfId="108"/>
    <cellStyle name="Normal 2 6 2" xfId="264"/>
    <cellStyle name="Normal 3" xfId="10"/>
    <cellStyle name="Normal 3 2" xfId="55"/>
    <cellStyle name="Normal 3 2 2" xfId="97"/>
    <cellStyle name="Normal 3 2 3" xfId="80"/>
    <cellStyle name="Normal 3 3" xfId="84"/>
    <cellStyle name="Normal 3 3 2" xfId="158"/>
    <cellStyle name="Normal 3 3 2 2" xfId="308"/>
    <cellStyle name="Normal 3 3 3" xfId="253"/>
    <cellStyle name="Normal 3 4" xfId="103"/>
    <cellStyle name="Normal 3 4 2" xfId="260"/>
    <cellStyle name="Normal 3 5" xfId="226"/>
    <cellStyle name="Normal 4" xfId="11"/>
    <cellStyle name="Normal 4 2" xfId="59"/>
    <cellStyle name="Normal 4 2 2" xfId="98"/>
    <cellStyle name="Normal 4 2 3" xfId="139"/>
    <cellStyle name="Normal 4 3" xfId="81"/>
    <cellStyle name="Normal 4 4" xfId="121"/>
    <cellStyle name="Normal 4 4 2" xfId="272"/>
    <cellStyle name="Normal 4 5" xfId="227"/>
    <cellStyle name="Normal 5" xfId="53"/>
    <cellStyle name="Normal 5 2" xfId="85"/>
    <cellStyle name="Normal 5 3" xfId="135"/>
    <cellStyle name="Normal 5 3 2" xfId="286"/>
    <cellStyle name="Normal 5 4" xfId="229"/>
    <cellStyle name="Normal 6" xfId="61"/>
    <cellStyle name="Normal 6 2" xfId="140"/>
    <cellStyle name="Normal 6 2 2" xfId="290"/>
    <cellStyle name="Normal 6 3" xfId="235"/>
    <cellStyle name="Normal 7" xfId="62"/>
    <cellStyle name="Normal 7 2" xfId="141"/>
    <cellStyle name="Normal 7 2 2" xfId="291"/>
    <cellStyle name="Normal 7 3" xfId="236"/>
    <cellStyle name="Normal 8" xfId="76"/>
    <cellStyle name="Normal 9" xfId="77"/>
    <cellStyle name="Normal 9 2" xfId="155"/>
    <cellStyle name="Normal 9 2 2" xfId="305"/>
    <cellStyle name="Normal 9 3" xfId="250"/>
    <cellStyle name="Normal_KP90_Final_Reference_Tables_v2" xfId="4"/>
    <cellStyle name="Normal_PublicationTables Version3 DCr 2" xfId="5"/>
    <cellStyle name="Normal_Quarterly analysis of Mental Capacity Act 2005, Deprivation of Liberty Safeguards Assessments (England) Quarter 3" xfId="7"/>
    <cellStyle name="Note 2" xfId="54"/>
    <cellStyle name="Note 2 2" xfId="136"/>
    <cellStyle name="Note 2 2 2" xfId="287"/>
    <cellStyle name="Note 2 3" xfId="230"/>
    <cellStyle name="Note 3" xfId="63"/>
    <cellStyle name="Note 3 2" xfId="142"/>
    <cellStyle name="Note 3 2 2" xfId="292"/>
    <cellStyle name="Note 3 3" xfId="237"/>
    <cellStyle name="Note 4" xfId="195"/>
    <cellStyle name="Note 4 2" xfId="341"/>
    <cellStyle name="Output" xfId="22" builtinId="21" customBuiltin="1"/>
    <cellStyle name="Output 2" xfId="190"/>
    <cellStyle name="Output 2 2" xfId="336"/>
    <cellStyle name="Percent" xfId="8" builtinId="5"/>
    <cellStyle name="Percent 2" xfId="58"/>
    <cellStyle name="Percent 2 2" xfId="88"/>
    <cellStyle name="Percent 2 2 2" xfId="160"/>
    <cellStyle name="Percent 2 2 2 2" xfId="310"/>
    <cellStyle name="Percent 2 2 3" xfId="255"/>
    <cellStyle name="Percent 2 3" xfId="105"/>
    <cellStyle name="Percent 2 3 2" xfId="262"/>
    <cellStyle name="Percent 2 4" xfId="233"/>
    <cellStyle name="Percent 3" xfId="99"/>
    <cellStyle name="Percent 3 2" xfId="257"/>
    <cellStyle name="Percent 4" xfId="225"/>
    <cellStyle name="Row_CategoryHeadings" xfId="91"/>
    <cellStyle name="Source" xfId="92"/>
    <cellStyle name="Table_Name" xfId="93"/>
    <cellStyle name="Title" xfId="13" builtinId="15" customBuiltin="1"/>
    <cellStyle name="Title 2" xfId="185"/>
    <cellStyle name="Title 2 2" xfId="331"/>
    <cellStyle name="Total" xfId="28" builtinId="25" customBuiltin="1"/>
    <cellStyle name="Total 2" xfId="197"/>
    <cellStyle name="Total 2 2" xfId="343"/>
    <cellStyle name="Warning Text" xfId="26" builtinId="11" customBuiltin="1"/>
    <cellStyle name="Warning Text 2" xfId="194"/>
    <cellStyle name="Warning Text 2 2" xfId="340"/>
    <cellStyle name="Warnings" xfId="94"/>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color rgb="FFFFCCCC"/>
      <color rgb="FFFF9999"/>
      <color rgb="FFFF99FF"/>
      <color rgb="FFCC99FF"/>
      <color rgb="FF33CCFF"/>
      <color rgb="FF66FFFF"/>
      <color rgb="FF99FF66"/>
      <color rgb="FFFFCCFF"/>
      <color rgb="FFCC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35"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238109</xdr:colOff>
      <xdr:row>1</xdr:row>
      <xdr:rowOff>0</xdr:rowOff>
    </xdr:from>
    <xdr:to>
      <xdr:col>12</xdr:col>
      <xdr:colOff>10681</xdr:colOff>
      <xdr:row>6</xdr:row>
      <xdr:rowOff>50759</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0759" y="171450"/>
          <a:ext cx="1197090" cy="900072"/>
        </a:xfrm>
        <a:prstGeom prst="rect">
          <a:avLst/>
        </a:prstGeom>
      </xdr:spPr>
    </xdr:pic>
    <xdr:clientData/>
  </xdr:twoCellAnchor>
  <xdr:twoCellAnchor>
    <xdr:from>
      <xdr:col>0</xdr:col>
      <xdr:colOff>19051</xdr:colOff>
      <xdr:row>57</xdr:row>
      <xdr:rowOff>0</xdr:rowOff>
    </xdr:from>
    <xdr:to>
      <xdr:col>0</xdr:col>
      <xdr:colOff>781742</xdr:colOff>
      <xdr:row>57</xdr:row>
      <xdr:rowOff>312826</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123826" y="15821025"/>
          <a:ext cx="762691" cy="312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126996</xdr:colOff>
      <xdr:row>1</xdr:row>
      <xdr:rowOff>42326</xdr:rowOff>
    </xdr:from>
    <xdr:to>
      <xdr:col>0</xdr:col>
      <xdr:colOff>893241</xdr:colOff>
      <xdr:row>5</xdr:row>
      <xdr:rowOff>87317</xdr:rowOff>
    </xdr:to>
    <xdr:pic>
      <xdr:nvPicPr>
        <xdr:cNvPr id="4" name="Picture 3">
          <a:extLst>
            <a:ext uri="{FF2B5EF4-FFF2-40B4-BE49-F238E27FC236}">
              <a16:creationId xmlns:a16="http://schemas.microsoft.com/office/drawing/2014/main" xmlns="" id="{65BA61E0-D071-40E4-82BC-3138864EB10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6996" y="222243"/>
          <a:ext cx="761483" cy="7614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794596</xdr:colOff>
      <xdr:row>0</xdr:row>
      <xdr:rowOff>0</xdr:rowOff>
    </xdr:from>
    <xdr:to>
      <xdr:col>25</xdr:col>
      <xdr:colOff>382488</xdr:colOff>
      <xdr:row>4</xdr:row>
      <xdr:rowOff>230147</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637846" y="0"/>
          <a:ext cx="1197090" cy="9339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30479</xdr:colOff>
      <xdr:row>0</xdr:row>
      <xdr:rowOff>133350</xdr:rowOff>
    </xdr:from>
    <xdr:to>
      <xdr:col>5</xdr:col>
      <xdr:colOff>103619</xdr:colOff>
      <xdr:row>4</xdr:row>
      <xdr:rowOff>425410</xdr:rowOff>
    </xdr:to>
    <xdr:pic>
      <xdr:nvPicPr>
        <xdr:cNvPr id="2" name="Picture 1">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40979" y="133350"/>
          <a:ext cx="1197090" cy="10000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859163</xdr:colOff>
      <xdr:row>0</xdr:row>
      <xdr:rowOff>76200</xdr:rowOff>
    </xdr:from>
    <xdr:to>
      <xdr:col>7</xdr:col>
      <xdr:colOff>21078</xdr:colOff>
      <xdr:row>4</xdr:row>
      <xdr:rowOff>306347</xdr:rowOff>
    </xdr:to>
    <xdr:pic>
      <xdr:nvPicPr>
        <xdr:cNvPr id="2" name="Picture 1">
          <a:extLst>
            <a:ext uri="{FF2B5EF4-FFF2-40B4-BE49-F238E27FC236}">
              <a16:creationId xmlns:a16="http://schemas.microsoft.com/office/drawing/2014/main" xmlns=""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1580" y="76200"/>
          <a:ext cx="1193915" cy="9344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10577</xdr:colOff>
      <xdr:row>0</xdr:row>
      <xdr:rowOff>47625</xdr:rowOff>
    </xdr:from>
    <xdr:to>
      <xdr:col>5</xdr:col>
      <xdr:colOff>152405</xdr:colOff>
      <xdr:row>4</xdr:row>
      <xdr:rowOff>86571</xdr:rowOff>
    </xdr:to>
    <xdr:pic>
      <xdr:nvPicPr>
        <xdr:cNvPr id="2" name="Picture 1">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69660" y="47625"/>
          <a:ext cx="1253607" cy="9761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23</xdr:col>
      <xdr:colOff>540598</xdr:colOff>
      <xdr:row>0</xdr:row>
      <xdr:rowOff>84667</xdr:rowOff>
    </xdr:from>
    <xdr:to>
      <xdr:col>25</xdr:col>
      <xdr:colOff>162041</xdr:colOff>
      <xdr:row>4</xdr:row>
      <xdr:rowOff>140718</xdr:rowOff>
    </xdr:to>
    <xdr:pic>
      <xdr:nvPicPr>
        <xdr:cNvPr id="2" name="Picture 1">
          <a:extLst>
            <a:ext uri="{FF2B5EF4-FFF2-40B4-BE49-F238E27FC236}">
              <a16:creationId xmlns:a16="http://schemas.microsoft.com/office/drawing/2014/main" xmlns="" id="{965596AA-1802-478E-9745-1D13ED87D2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65458" y="84667"/>
          <a:ext cx="1191163" cy="97045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57150</xdr:colOff>
      <xdr:row>0</xdr:row>
      <xdr:rowOff>95250</xdr:rowOff>
    </xdr:from>
    <xdr:to>
      <xdr:col>5</xdr:col>
      <xdr:colOff>140873</xdr:colOff>
      <xdr:row>4</xdr:row>
      <xdr:rowOff>141776</xdr:rowOff>
    </xdr:to>
    <xdr:pic>
      <xdr:nvPicPr>
        <xdr:cNvPr id="3" name="Picture 2">
          <a:extLst>
            <a:ext uri="{FF2B5EF4-FFF2-40B4-BE49-F238E27FC236}">
              <a16:creationId xmlns:a16="http://schemas.microsoft.com/office/drawing/2014/main" xmlns="" id="{615E34D0-952F-44C1-B43B-527940186A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39025" y="95250"/>
          <a:ext cx="1194973" cy="9895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14288</xdr:colOff>
      <xdr:row>0</xdr:row>
      <xdr:rowOff>0</xdr:rowOff>
    </xdr:from>
    <xdr:to>
      <xdr:col>5</xdr:col>
      <xdr:colOff>98011</xdr:colOff>
      <xdr:row>4</xdr:row>
      <xdr:rowOff>46526</xdr:rowOff>
    </xdr:to>
    <xdr:pic>
      <xdr:nvPicPr>
        <xdr:cNvPr id="3" name="Picture 2">
          <a:extLst>
            <a:ext uri="{FF2B5EF4-FFF2-40B4-BE49-F238E27FC236}">
              <a16:creationId xmlns:a16="http://schemas.microsoft.com/office/drawing/2014/main" xmlns="" id="{356167FF-D0D4-4CF1-B02C-8B7A3F881C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96163" y="0"/>
          <a:ext cx="1188623" cy="97521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23</xdr:col>
      <xdr:colOff>433388</xdr:colOff>
      <xdr:row>1</xdr:row>
      <xdr:rowOff>17859</xdr:rowOff>
    </xdr:from>
    <xdr:to>
      <xdr:col>24</xdr:col>
      <xdr:colOff>858819</xdr:colOff>
      <xdr:row>4</xdr:row>
      <xdr:rowOff>242979</xdr:rowOff>
    </xdr:to>
    <xdr:pic>
      <xdr:nvPicPr>
        <xdr:cNvPr id="3" name="Picture 2">
          <a:extLst>
            <a:ext uri="{FF2B5EF4-FFF2-40B4-BE49-F238E27FC236}">
              <a16:creationId xmlns:a16="http://schemas.microsoft.com/office/drawing/2014/main" xmlns="" id="{EA62C2BA-77C1-40E7-9168-E262E92014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53498" y="196453"/>
          <a:ext cx="1187431" cy="97521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269657</xdr:colOff>
      <xdr:row>0</xdr:row>
      <xdr:rowOff>9525</xdr:rowOff>
    </xdr:from>
    <xdr:to>
      <xdr:col>16</xdr:col>
      <xdr:colOff>147325</xdr:colOff>
      <xdr:row>4</xdr:row>
      <xdr:rowOff>48471</xdr:rowOff>
    </xdr:to>
    <xdr:pic>
      <xdr:nvPicPr>
        <xdr:cNvPr id="2" name="Picture 1">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34197" y="9525"/>
          <a:ext cx="1249268" cy="96858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17</xdr:col>
      <xdr:colOff>213360</xdr:colOff>
      <xdr:row>0</xdr:row>
      <xdr:rowOff>68580</xdr:rowOff>
    </xdr:from>
    <xdr:to>
      <xdr:col>18</xdr:col>
      <xdr:colOff>571088</xdr:colOff>
      <xdr:row>3</xdr:row>
      <xdr:rowOff>313266</xdr:rowOff>
    </xdr:to>
    <xdr:pic>
      <xdr:nvPicPr>
        <xdr:cNvPr id="2" name="Picture 1">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97400" y="68580"/>
          <a:ext cx="1249268" cy="96858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24</xdr:col>
      <xdr:colOff>512445</xdr:colOff>
      <xdr:row>0</xdr:row>
      <xdr:rowOff>31750</xdr:rowOff>
    </xdr:from>
    <xdr:to>
      <xdr:col>26</xdr:col>
      <xdr:colOff>84996</xdr:colOff>
      <xdr:row>5</xdr:row>
      <xdr:rowOff>95209</xdr:rowOff>
    </xdr:to>
    <xdr:pic>
      <xdr:nvPicPr>
        <xdr:cNvPr id="5" name="Picture 4">
          <a:extLst>
            <a:ext uri="{FF2B5EF4-FFF2-40B4-BE49-F238E27FC236}">
              <a16:creationId xmlns:a16="http://schemas.microsoft.com/office/drawing/2014/main" xmlns=""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60737" y="31750"/>
          <a:ext cx="1197091" cy="92600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952499</xdr:colOff>
      <xdr:row>0</xdr:row>
      <xdr:rowOff>47629</xdr:rowOff>
    </xdr:from>
    <xdr:to>
      <xdr:col>5</xdr:col>
      <xdr:colOff>123129</xdr:colOff>
      <xdr:row>4</xdr:row>
      <xdr:rowOff>39651</xdr:rowOff>
    </xdr:to>
    <xdr:pic>
      <xdr:nvPicPr>
        <xdr:cNvPr id="2" name="Picture 1">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5999" y="47629"/>
          <a:ext cx="1170880" cy="90218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694513</xdr:colOff>
      <xdr:row>0</xdr:row>
      <xdr:rowOff>19050</xdr:rowOff>
    </xdr:from>
    <xdr:to>
      <xdr:col>7</xdr:col>
      <xdr:colOff>141645</xdr:colOff>
      <xdr:row>3</xdr:row>
      <xdr:rowOff>124313</xdr:rowOff>
    </xdr:to>
    <xdr:pic>
      <xdr:nvPicPr>
        <xdr:cNvPr id="2" name="Picture 1">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3096" y="19050"/>
          <a:ext cx="1199206" cy="93658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24</xdr:col>
      <xdr:colOff>276226</xdr:colOff>
      <xdr:row>0</xdr:row>
      <xdr:rowOff>95251</xdr:rowOff>
    </xdr:from>
    <xdr:to>
      <xdr:col>26</xdr:col>
      <xdr:colOff>106477</xdr:colOff>
      <xdr:row>4</xdr:row>
      <xdr:rowOff>268247</xdr:rowOff>
    </xdr:to>
    <xdr:pic>
      <xdr:nvPicPr>
        <xdr:cNvPr id="5" name="Picture 4">
          <a:extLst>
            <a:ext uri="{FF2B5EF4-FFF2-40B4-BE49-F238E27FC236}">
              <a16:creationId xmlns:a16="http://schemas.microsoft.com/office/drawing/2014/main" xmlns=""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82676" y="95251"/>
          <a:ext cx="1197090" cy="89530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857248</xdr:colOff>
      <xdr:row>0</xdr:row>
      <xdr:rowOff>95250</xdr:rowOff>
    </xdr:from>
    <xdr:to>
      <xdr:col>5</xdr:col>
      <xdr:colOff>66675</xdr:colOff>
      <xdr:row>4</xdr:row>
      <xdr:rowOff>258721</xdr:rowOff>
    </xdr:to>
    <xdr:pic>
      <xdr:nvPicPr>
        <xdr:cNvPr id="3" name="Picture 2">
          <a:extLst>
            <a:ext uri="{FF2B5EF4-FFF2-40B4-BE49-F238E27FC236}">
              <a16:creationId xmlns:a16="http://schemas.microsoft.com/office/drawing/2014/main" xmlns=""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62873" y="95250"/>
          <a:ext cx="1181102" cy="89530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973667</xdr:colOff>
      <xdr:row>0</xdr:row>
      <xdr:rowOff>0</xdr:rowOff>
    </xdr:from>
    <xdr:to>
      <xdr:col>7</xdr:col>
      <xdr:colOff>293687</xdr:colOff>
      <xdr:row>4</xdr:row>
      <xdr:rowOff>154743</xdr:rowOff>
    </xdr:to>
    <xdr:pic>
      <xdr:nvPicPr>
        <xdr:cNvPr id="3" name="Picture 2">
          <a:extLst>
            <a:ext uri="{FF2B5EF4-FFF2-40B4-BE49-F238E27FC236}">
              <a16:creationId xmlns:a16="http://schemas.microsoft.com/office/drawing/2014/main" xmlns=""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41417" y="0"/>
          <a:ext cx="1125008" cy="88499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24</xdr:col>
      <xdr:colOff>524828</xdr:colOff>
      <xdr:row>0</xdr:row>
      <xdr:rowOff>26459</xdr:rowOff>
    </xdr:from>
    <xdr:to>
      <xdr:col>26</xdr:col>
      <xdr:colOff>96846</xdr:colOff>
      <xdr:row>3</xdr:row>
      <xdr:rowOff>383340</xdr:rowOff>
    </xdr:to>
    <xdr:pic>
      <xdr:nvPicPr>
        <xdr:cNvPr id="4" name="Picture 3">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976495" y="26459"/>
          <a:ext cx="1197090" cy="87546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22</xdr:col>
      <xdr:colOff>354113</xdr:colOff>
      <xdr:row>0</xdr:row>
      <xdr:rowOff>0</xdr:rowOff>
    </xdr:from>
    <xdr:to>
      <xdr:col>24</xdr:col>
      <xdr:colOff>277496</xdr:colOff>
      <xdr:row>4</xdr:row>
      <xdr:rowOff>198925</xdr:rowOff>
    </xdr:to>
    <xdr:pic>
      <xdr:nvPicPr>
        <xdr:cNvPr id="3" name="Picture 2">
          <a:extLst>
            <a:ext uri="{FF2B5EF4-FFF2-40B4-BE49-F238E27FC236}">
              <a16:creationId xmlns:a16="http://schemas.microsoft.com/office/drawing/2014/main" xmlns=""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7530" y="0"/>
          <a:ext cx="1193914" cy="95034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11</xdr:col>
      <xdr:colOff>428625</xdr:colOff>
      <xdr:row>0</xdr:row>
      <xdr:rowOff>0</xdr:rowOff>
    </xdr:from>
    <xdr:to>
      <xdr:col>12</xdr:col>
      <xdr:colOff>740610</xdr:colOff>
      <xdr:row>4</xdr:row>
      <xdr:rowOff>254867</xdr:rowOff>
    </xdr:to>
    <xdr:pic>
      <xdr:nvPicPr>
        <xdr:cNvPr id="2" name="Picture 1">
          <a:extLst>
            <a:ext uri="{FF2B5EF4-FFF2-40B4-BE49-F238E27FC236}">
              <a16:creationId xmlns:a16="http://schemas.microsoft.com/office/drawing/2014/main" xmlns="" id="{1E5AD8AD-65F3-49B1-9BBE-DDB283391F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03542" y="0"/>
          <a:ext cx="1214214" cy="9988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838200</xdr:colOff>
      <xdr:row>0</xdr:row>
      <xdr:rowOff>133350</xdr:rowOff>
    </xdr:from>
    <xdr:to>
      <xdr:col>7</xdr:col>
      <xdr:colOff>113548</xdr:colOff>
      <xdr:row>4</xdr:row>
      <xdr:rowOff>200892</xdr:rowOff>
    </xdr:to>
    <xdr:pic>
      <xdr:nvPicPr>
        <xdr:cNvPr id="3" name="Picture 2">
          <a:extLst>
            <a:ext uri="{FF2B5EF4-FFF2-40B4-BE49-F238E27FC236}">
              <a16:creationId xmlns:a16="http://schemas.microsoft.com/office/drawing/2014/main" xmlns="" id="{FB022F37-BFFF-48F5-9CFD-ED99146B8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24900" y="133350"/>
          <a:ext cx="1218448" cy="100099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859163</xdr:colOff>
      <xdr:row>0</xdr:row>
      <xdr:rowOff>76200</xdr:rowOff>
    </xdr:from>
    <xdr:to>
      <xdr:col>7</xdr:col>
      <xdr:colOff>21078</xdr:colOff>
      <xdr:row>4</xdr:row>
      <xdr:rowOff>44409</xdr:rowOff>
    </xdr:to>
    <xdr:pic>
      <xdr:nvPicPr>
        <xdr:cNvPr id="2" name="Picture 1">
          <a:extLst>
            <a:ext uri="{FF2B5EF4-FFF2-40B4-BE49-F238E27FC236}">
              <a16:creationId xmlns:a16="http://schemas.microsoft.com/office/drawing/2014/main" xmlns="" id="{A7110E60-F451-4470-B139-18B7FCBBA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03113" y="76200"/>
          <a:ext cx="1200265" cy="92547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inyere Agu" id="{20CF4396-BDBC-4113-8838-759FF8F5B463}" userId="S::chag1@hscic.gov.uk::72a1b7a9-8431-4026-a6fe-5fac85195cee" providerId="AD"/>
</personList>
</file>

<file path=xl/theme/theme1.xml><?xml version="1.0" encoding="utf-8"?>
<a:theme xmlns:a="http://schemas.openxmlformats.org/drawingml/2006/main" name="NHS Digital">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9" dT="2021-09-30T16:30:49.51" personId="{20CF4396-BDBC-4113-8838-759FF8F5B463}" id="{0B0FD9F3-DEAD-4CBE-A785-496D2832ED78}">
    <text>I added this so it is easy to find for end users should they want to have a look themselves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digital.nhs.uk/pubs/mha1920"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nomisweb.co.uk/census/2011/LC2101EW/view/2092957699?rows=c_ethpuk11&amp;cols=c_se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3.bin"/><Relationship Id="rId1" Type="http://schemas.openxmlformats.org/officeDocument/2006/relationships/hyperlink" Target="https://www.nomisweb.co.uk/census/2011/LC2101EW/view/2092957699?rows=c_ethpuk11&amp;cols=c_sex"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6.bin"/><Relationship Id="rId1" Type="http://schemas.openxmlformats.org/officeDocument/2006/relationships/hyperlink" Target="https://www.nomisweb.co.uk/census/2011/LC2101EW/view/2092957699?rows=c_ethpuk11&amp;cols=c_sex"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19.bin"/><Relationship Id="rId1" Type="http://schemas.openxmlformats.org/officeDocument/2006/relationships/hyperlink" Target="https://www.nomisweb.co.uk/census/2011/LC2101EW/view/2092957699?rows=c_ethpuk11&amp;cols=c_sex"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66"/>
  <sheetViews>
    <sheetView showGridLines="0" tabSelected="1" workbookViewId="0"/>
  </sheetViews>
  <sheetFormatPr defaultColWidth="9.796875" defaultRowHeight="13.8" x14ac:dyDescent="0.25"/>
  <cols>
    <col min="1" max="1" width="12.5" style="195" customWidth="1"/>
    <col min="2" max="2" width="15.796875" style="195" customWidth="1"/>
    <col min="3" max="3" width="14.59765625" style="195" customWidth="1"/>
    <col min="4" max="5" width="14.19921875" style="195" customWidth="1"/>
    <col min="6" max="6" width="12.796875" style="195" customWidth="1"/>
    <col min="7" max="7" width="14.796875" style="195" customWidth="1"/>
    <col min="8" max="8" width="12.69921875" style="195" customWidth="1"/>
    <col min="9" max="10" width="15" style="195" customWidth="1"/>
    <col min="11" max="11" width="2.09765625" style="195" customWidth="1"/>
    <col min="12" max="12" width="1.69921875" style="195" customWidth="1"/>
    <col min="13" max="13" width="2.5" style="195" customWidth="1"/>
    <col min="14" max="16384" width="9.796875" style="195"/>
  </cols>
  <sheetData>
    <row r="1" spans="1:28" x14ac:dyDescent="0.25">
      <c r="A1" s="258"/>
      <c r="B1" s="258"/>
      <c r="C1" s="258"/>
      <c r="D1" s="258"/>
      <c r="E1" s="258"/>
      <c r="F1" s="258"/>
      <c r="G1" s="258"/>
      <c r="H1" s="258"/>
      <c r="I1" s="258"/>
      <c r="J1" s="258"/>
      <c r="K1" s="258"/>
      <c r="L1" s="258"/>
      <c r="M1" s="259"/>
      <c r="N1" s="259"/>
      <c r="O1" s="259"/>
      <c r="P1" s="259"/>
      <c r="Q1" s="259"/>
      <c r="R1" s="259"/>
      <c r="S1" s="259"/>
      <c r="T1" s="259"/>
      <c r="U1" s="259"/>
      <c r="V1" s="259"/>
      <c r="W1" s="259"/>
      <c r="X1" s="259"/>
      <c r="Y1" s="259"/>
      <c r="Z1" s="259"/>
      <c r="AA1" s="259"/>
      <c r="AB1" s="259"/>
    </row>
    <row r="2" spans="1:28" x14ac:dyDescent="0.25">
      <c r="A2" s="258"/>
      <c r="B2" s="258"/>
      <c r="C2" s="258"/>
      <c r="D2" s="258"/>
      <c r="E2" s="258"/>
      <c r="F2" s="258"/>
      <c r="G2" s="258"/>
      <c r="H2" s="258"/>
      <c r="I2" s="258"/>
      <c r="J2" s="258"/>
      <c r="K2" s="258"/>
      <c r="L2" s="258"/>
      <c r="M2" s="259"/>
      <c r="N2" s="260"/>
      <c r="O2" s="260"/>
      <c r="P2" s="260"/>
      <c r="Q2" s="260"/>
      <c r="R2" s="260"/>
      <c r="S2" s="260"/>
      <c r="T2" s="260"/>
      <c r="U2" s="260"/>
      <c r="V2" s="260"/>
      <c r="W2" s="260"/>
      <c r="X2" s="260"/>
      <c r="Y2" s="260"/>
      <c r="Z2" s="260"/>
      <c r="AA2" s="260"/>
      <c r="AB2" s="260"/>
    </row>
    <row r="3" spans="1:28" x14ac:dyDescent="0.25">
      <c r="A3" s="259"/>
      <c r="B3" s="259"/>
      <c r="C3" s="258"/>
      <c r="D3" s="258"/>
      <c r="E3" s="258"/>
      <c r="F3" s="258"/>
      <c r="G3" s="258"/>
      <c r="H3" s="258"/>
      <c r="I3" s="258"/>
      <c r="J3" s="258"/>
      <c r="K3" s="258"/>
      <c r="L3" s="258"/>
      <c r="M3" s="259"/>
      <c r="N3" s="260"/>
      <c r="O3" s="260"/>
      <c r="P3" s="260"/>
      <c r="Q3" s="260"/>
      <c r="R3" s="260"/>
      <c r="S3" s="260"/>
      <c r="T3" s="260"/>
      <c r="U3" s="260"/>
      <c r="V3" s="260"/>
      <c r="W3" s="260"/>
      <c r="X3" s="260"/>
      <c r="Y3" s="260"/>
      <c r="Z3" s="260"/>
      <c r="AA3" s="260"/>
      <c r="AB3" s="260"/>
    </row>
    <row r="4" spans="1:28" x14ac:dyDescent="0.25">
      <c r="A4" s="258"/>
      <c r="B4" s="258"/>
      <c r="C4" s="258"/>
      <c r="D4" s="258"/>
      <c r="E4" s="258"/>
      <c r="F4" s="258"/>
      <c r="G4" s="258"/>
      <c r="H4" s="258"/>
      <c r="I4" s="258"/>
      <c r="J4" s="258"/>
      <c r="K4" s="258"/>
      <c r="L4" s="258"/>
      <c r="M4" s="259"/>
      <c r="N4" s="260"/>
      <c r="O4" s="259"/>
      <c r="P4" s="259"/>
      <c r="Q4" s="259"/>
      <c r="R4" s="259"/>
      <c r="S4" s="259"/>
      <c r="T4" s="259"/>
      <c r="U4" s="259"/>
      <c r="V4" s="259"/>
      <c r="W4" s="259"/>
      <c r="X4" s="259"/>
      <c r="Y4" s="259"/>
      <c r="Z4" s="259"/>
      <c r="AA4" s="259"/>
      <c r="AB4" s="259"/>
    </row>
    <row r="5" spans="1:28" x14ac:dyDescent="0.25">
      <c r="A5" s="258"/>
      <c r="B5" s="258"/>
      <c r="C5" s="258"/>
      <c r="D5" s="258"/>
      <c r="E5" s="258"/>
      <c r="F5" s="258"/>
      <c r="G5" s="258"/>
      <c r="H5" s="258"/>
      <c r="I5" s="258"/>
      <c r="J5" s="258"/>
      <c r="K5" s="258"/>
      <c r="L5" s="258"/>
      <c r="M5" s="259"/>
      <c r="N5" s="260"/>
      <c r="O5" s="259"/>
      <c r="P5" s="259"/>
      <c r="Q5" s="259"/>
      <c r="R5" s="259"/>
      <c r="S5" s="259"/>
      <c r="T5" s="259"/>
      <c r="U5" s="259"/>
      <c r="V5" s="259"/>
      <c r="W5" s="259"/>
      <c r="X5" s="259"/>
      <c r="Y5" s="259"/>
      <c r="Z5" s="259"/>
      <c r="AA5" s="259"/>
      <c r="AB5" s="259"/>
    </row>
    <row r="6" spans="1:28" x14ac:dyDescent="0.25">
      <c r="A6" s="258"/>
      <c r="B6" s="258"/>
      <c r="C6" s="258"/>
      <c r="D6" s="258"/>
      <c r="E6" s="258"/>
      <c r="F6" s="258"/>
      <c r="G6" s="258"/>
      <c r="H6" s="258"/>
      <c r="I6" s="258"/>
      <c r="J6" s="258"/>
      <c r="K6" s="258"/>
      <c r="L6" s="258"/>
      <c r="M6" s="259"/>
      <c r="N6" s="260"/>
      <c r="O6" s="259"/>
      <c r="P6" s="259"/>
      <c r="Q6" s="259"/>
      <c r="R6" s="259"/>
      <c r="S6" s="259"/>
      <c r="T6" s="259"/>
      <c r="U6" s="259"/>
      <c r="V6" s="259"/>
      <c r="W6" s="259"/>
      <c r="X6" s="259"/>
      <c r="Y6" s="259"/>
      <c r="Z6" s="259"/>
      <c r="AA6" s="259"/>
      <c r="AB6" s="259"/>
    </row>
    <row r="7" spans="1:28" x14ac:dyDescent="0.25">
      <c r="A7" s="258"/>
      <c r="B7" s="258"/>
      <c r="C7" s="258"/>
      <c r="D7" s="258"/>
      <c r="E7" s="258"/>
      <c r="F7" s="258"/>
      <c r="G7" s="258"/>
      <c r="H7" s="258"/>
      <c r="I7" s="258"/>
      <c r="J7" s="258"/>
      <c r="K7" s="258"/>
      <c r="L7" s="258"/>
      <c r="M7" s="259"/>
      <c r="N7" s="260"/>
      <c r="O7" s="259"/>
      <c r="P7" s="259"/>
      <c r="Q7" s="259"/>
      <c r="R7" s="259"/>
      <c r="S7" s="259"/>
      <c r="T7" s="259"/>
      <c r="U7" s="259"/>
      <c r="V7" s="259"/>
      <c r="W7" s="259"/>
      <c r="X7" s="259"/>
      <c r="Y7" s="259"/>
      <c r="Z7" s="259"/>
      <c r="AA7" s="259"/>
      <c r="AB7" s="259"/>
    </row>
    <row r="8" spans="1:28" ht="63.75" customHeight="1" x14ac:dyDescent="0.45">
      <c r="A8" s="664" t="s">
        <v>761</v>
      </c>
      <c r="B8" s="665"/>
      <c r="C8" s="666"/>
      <c r="D8" s="666"/>
      <c r="E8" s="666"/>
      <c r="F8" s="666"/>
      <c r="G8" s="666"/>
      <c r="H8" s="666"/>
      <c r="I8" s="666"/>
      <c r="J8" s="666"/>
      <c r="K8" s="666"/>
      <c r="L8" s="666"/>
      <c r="M8" s="259"/>
      <c r="N8" s="260"/>
      <c r="O8" s="259"/>
      <c r="P8" s="259"/>
      <c r="Q8" s="259"/>
      <c r="R8" s="259"/>
      <c r="S8" s="259"/>
      <c r="T8" s="259"/>
      <c r="U8" s="259"/>
      <c r="V8" s="259"/>
      <c r="W8" s="259"/>
      <c r="X8" s="259"/>
      <c r="Y8" s="259"/>
      <c r="Z8" s="259"/>
      <c r="AA8" s="259"/>
      <c r="AB8" s="259"/>
    </row>
    <row r="9" spans="1:28" ht="22.5" customHeight="1" x14ac:dyDescent="0.3">
      <c r="A9" s="670" t="s">
        <v>0</v>
      </c>
      <c r="B9" s="670"/>
      <c r="C9" s="670"/>
      <c r="D9" s="653"/>
      <c r="E9" s="653"/>
      <c r="F9" s="653"/>
      <c r="G9" s="653"/>
      <c r="H9" s="653"/>
      <c r="I9" s="653"/>
      <c r="J9" s="653"/>
      <c r="K9" s="653"/>
      <c r="L9" s="653"/>
      <c r="M9" s="259"/>
      <c r="N9" s="259"/>
      <c r="O9" s="259"/>
      <c r="P9" s="259"/>
      <c r="Q9" s="259"/>
      <c r="R9" s="259"/>
      <c r="S9" s="259"/>
      <c r="T9" s="259"/>
      <c r="U9" s="259"/>
      <c r="V9" s="259"/>
      <c r="W9" s="259"/>
      <c r="X9" s="259"/>
      <c r="Y9" s="259"/>
      <c r="Z9" s="259"/>
      <c r="AA9" s="259"/>
      <c r="AB9" s="259"/>
    </row>
    <row r="10" spans="1:28" x14ac:dyDescent="0.25">
      <c r="A10" s="655" t="s">
        <v>759</v>
      </c>
      <c r="B10" s="655"/>
      <c r="C10" s="655"/>
      <c r="D10" s="655"/>
      <c r="E10" s="655"/>
      <c r="F10" s="655"/>
      <c r="G10" s="261"/>
      <c r="H10" s="261"/>
      <c r="I10" s="261"/>
      <c r="J10" s="261"/>
      <c r="K10" s="261"/>
      <c r="L10" s="261"/>
      <c r="M10" s="259"/>
      <c r="N10" s="259"/>
      <c r="O10" s="259"/>
      <c r="P10" s="259"/>
      <c r="Q10" s="259"/>
      <c r="R10" s="259"/>
      <c r="S10" s="259"/>
      <c r="T10" s="259"/>
      <c r="U10" s="259"/>
      <c r="V10" s="259"/>
      <c r="W10" s="259"/>
      <c r="X10" s="259"/>
      <c r="Y10" s="259"/>
      <c r="Z10" s="259"/>
      <c r="AA10" s="259"/>
      <c r="AB10" s="259"/>
    </row>
    <row r="11" spans="1:28" ht="15.75" customHeight="1" x14ac:dyDescent="0.25">
      <c r="A11" s="656" t="s">
        <v>760</v>
      </c>
      <c r="B11" s="656"/>
      <c r="C11" s="656"/>
      <c r="D11" s="656"/>
      <c r="E11" s="656"/>
      <c r="F11" s="656"/>
      <c r="G11" s="6"/>
      <c r="H11" s="6"/>
      <c r="I11" s="6"/>
      <c r="J11" s="6"/>
      <c r="K11" s="259"/>
      <c r="L11" s="259"/>
      <c r="M11" s="259"/>
      <c r="N11" s="259"/>
      <c r="O11" s="259"/>
      <c r="P11" s="259"/>
      <c r="Q11" s="259"/>
      <c r="R11" s="259"/>
      <c r="S11" s="259"/>
      <c r="T11" s="259"/>
      <c r="U11" s="259"/>
      <c r="V11" s="259"/>
      <c r="W11" s="259"/>
      <c r="X11" s="259"/>
      <c r="Y11" s="259"/>
      <c r="Z11" s="259"/>
      <c r="AA11" s="259"/>
      <c r="AB11" s="259"/>
    </row>
    <row r="12" spans="1:28" ht="25.2" customHeight="1" x14ac:dyDescent="0.25">
      <c r="A12" s="262" t="s">
        <v>1</v>
      </c>
      <c r="B12" s="263"/>
      <c r="C12" s="263"/>
      <c r="D12" s="260"/>
      <c r="E12" s="260"/>
      <c r="F12" s="260"/>
      <c r="G12" s="260"/>
      <c r="H12" s="260"/>
      <c r="I12" s="260"/>
      <c r="J12" s="260"/>
      <c r="K12" s="259"/>
      <c r="L12" s="259"/>
      <c r="M12" s="259"/>
      <c r="N12" s="259"/>
      <c r="O12" s="259"/>
      <c r="P12" s="259"/>
      <c r="Q12" s="259"/>
      <c r="R12" s="259"/>
      <c r="S12" s="259"/>
      <c r="T12" s="259"/>
      <c r="U12" s="259"/>
      <c r="V12" s="259"/>
      <c r="W12" s="259"/>
      <c r="X12" s="259"/>
      <c r="Y12" s="259"/>
      <c r="Z12" s="259"/>
      <c r="AA12" s="259"/>
      <c r="AB12" s="259"/>
    </row>
    <row r="13" spans="1:28" ht="43.5" customHeight="1" x14ac:dyDescent="0.25">
      <c r="A13" s="654" t="s">
        <v>2</v>
      </c>
      <c r="B13" s="654"/>
      <c r="C13" s="654"/>
      <c r="D13" s="654"/>
      <c r="E13" s="654"/>
      <c r="F13" s="654"/>
      <c r="G13" s="654"/>
      <c r="H13" s="654"/>
      <c r="I13" s="654"/>
      <c r="J13" s="654"/>
      <c r="K13" s="259"/>
      <c r="L13" s="259"/>
      <c r="M13" s="259"/>
      <c r="N13" s="259"/>
      <c r="O13" s="259"/>
      <c r="P13" s="259"/>
      <c r="Q13" s="259"/>
      <c r="R13" s="259"/>
      <c r="S13" s="259"/>
      <c r="T13" s="259"/>
      <c r="U13" s="259"/>
      <c r="V13" s="259"/>
      <c r="W13" s="259"/>
      <c r="X13" s="259"/>
      <c r="Y13" s="259"/>
      <c r="Z13" s="259"/>
      <c r="AA13" s="259"/>
      <c r="AB13" s="259"/>
    </row>
    <row r="14" spans="1:28" ht="86.25" customHeight="1" x14ac:dyDescent="0.25">
      <c r="A14" s="654" t="s">
        <v>3</v>
      </c>
      <c r="B14" s="654"/>
      <c r="C14" s="654"/>
      <c r="D14" s="654"/>
      <c r="E14" s="654"/>
      <c r="F14" s="654"/>
      <c r="G14" s="654"/>
      <c r="H14" s="654"/>
      <c r="I14" s="654"/>
      <c r="J14" s="654"/>
      <c r="K14" s="259"/>
      <c r="L14" s="259"/>
      <c r="M14" s="259"/>
      <c r="N14" s="259"/>
      <c r="O14" s="259"/>
      <c r="P14" s="259"/>
      <c r="Q14" s="259"/>
      <c r="R14" s="259"/>
      <c r="S14" s="259"/>
      <c r="T14" s="259"/>
      <c r="U14" s="259"/>
      <c r="V14" s="259"/>
      <c r="W14" s="259"/>
      <c r="X14" s="259"/>
      <c r="Y14" s="259"/>
      <c r="Z14" s="259"/>
      <c r="AA14" s="259"/>
      <c r="AB14" s="259"/>
    </row>
    <row r="15" spans="1:28" x14ac:dyDescent="0.25">
      <c r="A15" s="264" t="s">
        <v>4</v>
      </c>
      <c r="B15" s="263"/>
      <c r="C15" s="263"/>
      <c r="D15" s="260"/>
      <c r="E15" s="260"/>
      <c r="F15" s="260"/>
      <c r="G15" s="260"/>
      <c r="H15" s="260"/>
      <c r="I15" s="260"/>
      <c r="J15" s="260"/>
      <c r="K15" s="259"/>
      <c r="L15" s="259"/>
      <c r="M15" s="259"/>
      <c r="N15" s="259"/>
      <c r="O15" s="259"/>
      <c r="P15" s="259"/>
      <c r="Q15" s="259"/>
      <c r="R15" s="259"/>
      <c r="S15" s="259"/>
      <c r="T15" s="259"/>
      <c r="U15" s="259"/>
      <c r="V15" s="259"/>
      <c r="W15" s="259"/>
      <c r="X15" s="259"/>
      <c r="Y15" s="259"/>
      <c r="Z15" s="259"/>
      <c r="AA15" s="259"/>
      <c r="AB15" s="259"/>
    </row>
    <row r="16" spans="1:28" ht="48.75" customHeight="1" x14ac:dyDescent="0.25">
      <c r="A16" s="657" t="s">
        <v>5</v>
      </c>
      <c r="B16" s="657"/>
      <c r="C16" s="657"/>
      <c r="D16" s="657"/>
      <c r="E16" s="657"/>
      <c r="F16" s="657"/>
      <c r="G16" s="657"/>
      <c r="H16" s="657"/>
      <c r="I16" s="657"/>
      <c r="J16" s="657"/>
      <c r="K16" s="657"/>
      <c r="L16" s="657"/>
      <c r="M16" s="657"/>
      <c r="N16" s="259"/>
      <c r="O16" s="259"/>
      <c r="P16" s="259"/>
      <c r="Q16" s="259"/>
      <c r="R16" s="259"/>
      <c r="S16" s="259"/>
      <c r="T16" s="259"/>
      <c r="U16" s="259"/>
      <c r="V16" s="259"/>
      <c r="W16" s="259"/>
      <c r="X16" s="259"/>
      <c r="Y16" s="259"/>
      <c r="Z16" s="259"/>
      <c r="AA16" s="259"/>
      <c r="AB16" s="259"/>
    </row>
    <row r="17" spans="1:12" x14ac:dyDescent="0.25">
      <c r="A17" s="263"/>
      <c r="B17" s="263"/>
      <c r="C17" s="263"/>
      <c r="D17" s="260"/>
      <c r="E17" s="260"/>
      <c r="F17" s="260"/>
      <c r="G17" s="260"/>
      <c r="H17" s="260"/>
      <c r="I17" s="260"/>
      <c r="J17" s="260"/>
      <c r="K17" s="259"/>
      <c r="L17" s="259"/>
    </row>
    <row r="18" spans="1:12" x14ac:dyDescent="0.25">
      <c r="A18" s="266" t="s">
        <v>6</v>
      </c>
      <c r="B18" s="259"/>
      <c r="C18" s="259"/>
      <c r="D18" s="259"/>
      <c r="E18" s="259"/>
      <c r="F18" s="259"/>
      <c r="G18" s="259"/>
      <c r="H18" s="259"/>
      <c r="I18" s="259"/>
      <c r="J18" s="259"/>
      <c r="K18" s="259"/>
      <c r="L18" s="259"/>
    </row>
    <row r="19" spans="1:12" x14ac:dyDescent="0.25">
      <c r="A19" s="346" t="s">
        <v>7</v>
      </c>
      <c r="B19" s="667" t="s">
        <v>8</v>
      </c>
      <c r="C19" s="668"/>
      <c r="D19" s="668"/>
      <c r="E19" s="668"/>
      <c r="F19" s="668"/>
      <c r="G19" s="668"/>
      <c r="H19" s="668"/>
      <c r="I19" s="668"/>
      <c r="J19" s="668"/>
      <c r="K19" s="668"/>
      <c r="L19" s="669"/>
    </row>
    <row r="20" spans="1:12" ht="14.25" customHeight="1" x14ac:dyDescent="0.25">
      <c r="A20" s="211" t="s">
        <v>9</v>
      </c>
      <c r="B20" s="650" t="str">
        <f>'Table 1a'!A3</f>
        <v>Detentions under the Mental Health Act 1983, by legal status and provider type, 2013-14 to 2021-22</v>
      </c>
      <c r="C20" s="651"/>
      <c r="D20" s="651"/>
      <c r="E20" s="651"/>
      <c r="F20" s="651"/>
      <c r="G20" s="651"/>
      <c r="H20" s="651"/>
      <c r="I20" s="651"/>
      <c r="J20" s="651"/>
      <c r="K20" s="651"/>
      <c r="L20" s="652"/>
    </row>
    <row r="21" spans="1:12" ht="14.25" customHeight="1" x14ac:dyDescent="0.25">
      <c r="A21" s="211" t="s">
        <v>10</v>
      </c>
      <c r="B21" s="650" t="str">
        <f>'Table 1b'!A3</f>
        <v>Detentions under the Mental Health Act 1983, by age group and gender, 2021-22</v>
      </c>
      <c r="C21" s="651"/>
      <c r="D21" s="651"/>
      <c r="E21" s="651"/>
      <c r="F21" s="651"/>
      <c r="G21" s="651"/>
      <c r="H21" s="651"/>
      <c r="I21" s="651"/>
      <c r="J21" s="651"/>
      <c r="K21" s="651"/>
      <c r="L21" s="652"/>
    </row>
    <row r="22" spans="1:12" ht="14.25" customHeight="1" x14ac:dyDescent="0.25">
      <c r="A22" s="211" t="s">
        <v>11</v>
      </c>
      <c r="B22" s="658" t="str">
        <f>'Table 1c'!A3</f>
        <v>Detentions under the Mental Health Act 1983, by ethnicity, 2021-22</v>
      </c>
      <c r="C22" s="659"/>
      <c r="D22" s="659"/>
      <c r="E22" s="659"/>
      <c r="F22" s="659"/>
      <c r="G22" s="659"/>
      <c r="H22" s="659"/>
      <c r="I22" s="659"/>
      <c r="J22" s="659"/>
      <c r="K22" s="659"/>
      <c r="L22" s="660"/>
    </row>
    <row r="23" spans="1:12" ht="14.25" customHeight="1" x14ac:dyDescent="0.25">
      <c r="A23" s="211" t="s">
        <v>12</v>
      </c>
      <c r="B23" s="658" t="str">
        <f>'Table 1d'!A3</f>
        <v>Detentions under the Mental Health Act 1983, by Sustainability and Transformation Partnership (STP) area, 2021-22</v>
      </c>
      <c r="C23" s="659"/>
      <c r="D23" s="659"/>
      <c r="E23" s="659"/>
      <c r="F23" s="659"/>
      <c r="G23" s="659"/>
      <c r="H23" s="659"/>
      <c r="I23" s="659"/>
      <c r="J23" s="659"/>
      <c r="K23" s="659"/>
      <c r="L23" s="660"/>
    </row>
    <row r="24" spans="1:12" ht="14.25" customHeight="1" x14ac:dyDescent="0.25">
      <c r="A24" s="211" t="s">
        <v>13</v>
      </c>
      <c r="B24" s="658" t="str">
        <f>'Table 1e'!A3</f>
        <v>Counts and rates of Detention under the Mental Health Act 1983, cross-tabulated by age group, ethnicity and gender, 2021-22</v>
      </c>
      <c r="C24" s="659"/>
      <c r="D24" s="659"/>
      <c r="E24" s="659"/>
      <c r="F24" s="659"/>
      <c r="G24" s="659"/>
      <c r="H24" s="659"/>
      <c r="I24" s="659"/>
      <c r="J24" s="659"/>
      <c r="K24" s="659"/>
      <c r="L24" s="660"/>
    </row>
    <row r="25" spans="1:12" ht="14.25" customHeight="1" x14ac:dyDescent="0.25">
      <c r="A25" s="211" t="s">
        <v>14</v>
      </c>
      <c r="B25" s="658" t="str">
        <f>'Table 1f'!A3</f>
        <v>Detentions under the Mental Health Act 1983, by Clinical Commissioning Group (CCG) area, 2021-22</v>
      </c>
      <c r="C25" s="659"/>
      <c r="D25" s="659"/>
      <c r="E25" s="659"/>
      <c r="F25" s="659"/>
      <c r="G25" s="659"/>
      <c r="H25" s="659"/>
      <c r="I25" s="659"/>
      <c r="J25" s="659"/>
      <c r="K25" s="659"/>
      <c r="L25" s="660"/>
    </row>
    <row r="26" spans="1:12" ht="14.25" customHeight="1" x14ac:dyDescent="0.25">
      <c r="A26" s="211" t="s">
        <v>15</v>
      </c>
      <c r="B26" s="650" t="str">
        <f>'Table 1g'!A3</f>
        <v>Detentions under the Mental Health Act 1983, by IMD decile, 2021-22</v>
      </c>
      <c r="C26" s="651"/>
      <c r="D26" s="651"/>
      <c r="E26" s="651"/>
      <c r="F26" s="651"/>
      <c r="G26" s="651"/>
      <c r="H26" s="651"/>
      <c r="I26" s="651"/>
      <c r="J26" s="651"/>
      <c r="K26" s="651"/>
      <c r="L26" s="652"/>
    </row>
    <row r="27" spans="1:12" ht="14.25" customHeight="1" x14ac:dyDescent="0.25">
      <c r="A27" s="211" t="s">
        <v>16</v>
      </c>
      <c r="B27" s="658" t="str">
        <f>'Table 1h'!A3</f>
        <v>Detentions under the Mental Health Act 1983, by IMD decile and ethnicity, 2021-22</v>
      </c>
      <c r="C27" s="659"/>
      <c r="D27" s="659"/>
      <c r="E27" s="659"/>
      <c r="F27" s="659"/>
      <c r="G27" s="659"/>
      <c r="H27" s="659"/>
      <c r="I27" s="659"/>
      <c r="J27" s="659"/>
      <c r="K27" s="659"/>
      <c r="L27" s="660"/>
    </row>
    <row r="28" spans="1:12" ht="14.25" customHeight="1" x14ac:dyDescent="0.25">
      <c r="A28" s="211" t="s">
        <v>991</v>
      </c>
      <c r="B28" s="658" t="str">
        <f>'Table 1i'!A3</f>
        <v>Detentions under the Mental Health Act 1983, by Sustainability and Transformation Partnership (STP) area by age group and gender, 2021-22</v>
      </c>
      <c r="C28" s="659"/>
      <c r="D28" s="659"/>
      <c r="E28" s="659"/>
      <c r="F28" s="659"/>
      <c r="G28" s="659"/>
      <c r="H28" s="659"/>
      <c r="I28" s="659"/>
      <c r="J28" s="659"/>
      <c r="K28" s="659"/>
      <c r="L28" s="660"/>
    </row>
    <row r="29" spans="1:12" ht="14.25" customHeight="1" x14ac:dyDescent="0.25">
      <c r="A29" s="211" t="s">
        <v>1019</v>
      </c>
      <c r="B29" s="658" t="str">
        <f>'Table 1j'!A3</f>
        <v>Detentions under the Mental Health Act 1983, by Sustainability and Transformation Partnership (STP) area by ethnicity and deprivation decile, 2021-22</v>
      </c>
      <c r="C29" s="659"/>
      <c r="D29" s="659"/>
      <c r="E29" s="659"/>
      <c r="F29" s="659"/>
      <c r="G29" s="659"/>
      <c r="H29" s="659"/>
      <c r="I29" s="659"/>
      <c r="J29" s="659"/>
      <c r="K29" s="659"/>
      <c r="L29" s="660"/>
    </row>
    <row r="30" spans="1:12" ht="14.25" customHeight="1" x14ac:dyDescent="0.25">
      <c r="A30" s="211" t="s">
        <v>17</v>
      </c>
      <c r="B30" s="650" t="str">
        <f>'Table 2a'!A3</f>
        <v>Uses of Short Term Orders under the Mental Health Act 1983 by provider type, 2013-14 to 2021-22</v>
      </c>
      <c r="C30" s="651"/>
      <c r="D30" s="651"/>
      <c r="E30" s="651"/>
      <c r="F30" s="651"/>
      <c r="G30" s="651"/>
      <c r="H30" s="651"/>
      <c r="I30" s="651"/>
      <c r="J30" s="651"/>
      <c r="K30" s="651"/>
      <c r="L30" s="652"/>
    </row>
    <row r="31" spans="1:12" ht="14.25" customHeight="1" x14ac:dyDescent="0.25">
      <c r="A31" s="211" t="s">
        <v>18</v>
      </c>
      <c r="B31" s="650" t="str">
        <f>'Table 2b'!A3</f>
        <v>Uses of Short Term Detention Orders (Place of Safety Orders: Section 136) under the Mental Health Act 1983 by age group and gender, 2021-22</v>
      </c>
      <c r="C31" s="651"/>
      <c r="D31" s="651"/>
      <c r="E31" s="651"/>
      <c r="F31" s="651"/>
      <c r="G31" s="651"/>
      <c r="H31" s="651"/>
      <c r="I31" s="651"/>
      <c r="J31" s="651"/>
      <c r="K31" s="651"/>
      <c r="L31" s="652"/>
    </row>
    <row r="32" spans="1:12" ht="14.25" customHeight="1" x14ac:dyDescent="0.25">
      <c r="A32" s="211" t="s">
        <v>19</v>
      </c>
      <c r="B32" s="650" t="str">
        <f>'Table 2c'!A3</f>
        <v>Uses of Short Term Detention Orders (Place of Safety Orders: Section 136) under the Mental Health Act 1983 by ethnicity 2021-22</v>
      </c>
      <c r="C32" s="651"/>
      <c r="D32" s="651"/>
      <c r="E32" s="651"/>
      <c r="F32" s="651"/>
      <c r="G32" s="651"/>
      <c r="H32" s="651"/>
      <c r="I32" s="651"/>
      <c r="J32" s="651"/>
      <c r="K32" s="651"/>
      <c r="L32" s="652"/>
    </row>
    <row r="33" spans="1:19" ht="14.25" customHeight="1" x14ac:dyDescent="0.25">
      <c r="A33" s="211" t="s">
        <v>20</v>
      </c>
      <c r="B33" s="650" t="str">
        <f>'Table 3a'!A3</f>
        <v>Uses of Community Treatment Orders (CTOs) by provider type, 2013-14 to 2021-22</v>
      </c>
      <c r="C33" s="651"/>
      <c r="D33" s="651"/>
      <c r="E33" s="651"/>
      <c r="F33" s="651"/>
      <c r="G33" s="651"/>
      <c r="H33" s="651"/>
      <c r="I33" s="651"/>
      <c r="J33" s="651"/>
      <c r="K33" s="651"/>
      <c r="L33" s="652"/>
    </row>
    <row r="34" spans="1:19" ht="14.25" customHeight="1" x14ac:dyDescent="0.25">
      <c r="A34" s="211" t="s">
        <v>21</v>
      </c>
      <c r="B34" s="650" t="str">
        <f>'Table 3b'!A3</f>
        <v>Uses of Community Treatment Orders (CTOs) by age group and gender, 2021-22</v>
      </c>
      <c r="C34" s="651"/>
      <c r="D34" s="651"/>
      <c r="E34" s="651"/>
      <c r="F34" s="651"/>
      <c r="G34" s="651"/>
      <c r="H34" s="651"/>
      <c r="I34" s="651"/>
      <c r="J34" s="651"/>
      <c r="K34" s="651"/>
      <c r="L34" s="652"/>
    </row>
    <row r="35" spans="1:19" ht="14.25" customHeight="1" x14ac:dyDescent="0.25">
      <c r="A35" s="211" t="s">
        <v>22</v>
      </c>
      <c r="B35" s="650" t="str">
        <f>'Table 3c'!A3</f>
        <v>Uses of Community Treatment Orders (CTOs) by ethnicity, 2021-22</v>
      </c>
      <c r="C35" s="651"/>
      <c r="D35" s="651"/>
      <c r="E35" s="651"/>
      <c r="F35" s="651"/>
      <c r="G35" s="651"/>
      <c r="H35" s="651"/>
      <c r="I35" s="651"/>
      <c r="J35" s="651"/>
      <c r="K35" s="651"/>
      <c r="L35" s="652"/>
      <c r="M35" s="259"/>
      <c r="N35" s="259"/>
      <c r="O35" s="259"/>
      <c r="P35" s="259"/>
      <c r="Q35" s="259"/>
      <c r="R35" s="259"/>
      <c r="S35" s="259"/>
    </row>
    <row r="36" spans="1:19" x14ac:dyDescent="0.25">
      <c r="A36" s="211" t="s">
        <v>23</v>
      </c>
      <c r="B36" s="650" t="str">
        <f>'Table 4'!A3</f>
        <v>Uses of Sections 2 and 3 of the Mental Health Act 1983 by provider type, 2013-14 to 2021-22</v>
      </c>
      <c r="C36" s="651"/>
      <c r="D36" s="651"/>
      <c r="E36" s="651"/>
      <c r="F36" s="651"/>
      <c r="G36" s="651"/>
      <c r="H36" s="651"/>
      <c r="I36" s="651"/>
      <c r="J36" s="651"/>
      <c r="K36" s="651"/>
      <c r="L36" s="652"/>
      <c r="M36" s="259"/>
      <c r="N36" s="259"/>
      <c r="O36" s="259"/>
      <c r="P36" s="259"/>
      <c r="Q36" s="259"/>
      <c r="R36" s="259"/>
      <c r="S36" s="259"/>
    </row>
    <row r="37" spans="1:19" ht="14.25" customHeight="1" x14ac:dyDescent="0.25">
      <c r="A37" s="211" t="s">
        <v>24</v>
      </c>
      <c r="B37" s="650" t="str">
        <f>'Table 5'!A3</f>
        <v>People subject to the Mental Health Act 1983 on 31st March, by provider, 2015 to 2021</v>
      </c>
      <c r="C37" s="651"/>
      <c r="D37" s="651"/>
      <c r="E37" s="651"/>
      <c r="F37" s="651"/>
      <c r="G37" s="651"/>
      <c r="H37" s="651"/>
      <c r="I37" s="651"/>
      <c r="J37" s="651"/>
      <c r="K37" s="651"/>
      <c r="L37" s="652"/>
      <c r="M37" s="259"/>
      <c r="N37" s="259"/>
      <c r="O37" s="259"/>
      <c r="P37" s="259"/>
      <c r="Q37" s="259"/>
      <c r="R37" s="259"/>
      <c r="S37" s="259"/>
    </row>
    <row r="38" spans="1:19" ht="14.25" customHeight="1" x14ac:dyDescent="0.25">
      <c r="A38" s="211" t="s">
        <v>25</v>
      </c>
      <c r="B38" s="650" t="str">
        <f>'Table 6'!A3</f>
        <v>People subject to repeated detention under the Mental Health Act 1983, by age group, gender and ethnicity, 2021-22</v>
      </c>
      <c r="C38" s="651"/>
      <c r="D38" s="651"/>
      <c r="E38" s="651"/>
      <c r="F38" s="651"/>
      <c r="G38" s="651"/>
      <c r="H38" s="651"/>
      <c r="I38" s="651"/>
      <c r="J38" s="651"/>
      <c r="K38" s="651"/>
      <c r="L38" s="652"/>
      <c r="M38" s="259"/>
      <c r="N38" s="259"/>
      <c r="O38" s="259"/>
      <c r="P38" s="259"/>
      <c r="Q38" s="259"/>
      <c r="R38" s="259"/>
      <c r="S38" s="259"/>
    </row>
    <row r="39" spans="1:19" ht="14.25" customHeight="1" x14ac:dyDescent="0.25">
      <c r="A39" s="211" t="s">
        <v>26</v>
      </c>
      <c r="B39" s="650" t="str">
        <f>'Table 7a'!A3</f>
        <v>Discharges from hospital when previously detained under the Mental Health Act 1983, by age group and gender, 2021-22</v>
      </c>
      <c r="C39" s="651"/>
      <c r="D39" s="651"/>
      <c r="E39" s="651"/>
      <c r="F39" s="651"/>
      <c r="G39" s="651"/>
      <c r="H39" s="651"/>
      <c r="I39" s="651"/>
      <c r="J39" s="651"/>
      <c r="K39" s="651"/>
      <c r="L39" s="652"/>
      <c r="M39" s="259"/>
      <c r="N39" s="259"/>
      <c r="O39" s="259"/>
      <c r="P39" s="259"/>
      <c r="Q39" s="259"/>
      <c r="R39" s="259"/>
      <c r="S39" s="259"/>
    </row>
    <row r="40" spans="1:19" ht="14.25" customHeight="1" x14ac:dyDescent="0.25">
      <c r="A40" s="211" t="s">
        <v>27</v>
      </c>
      <c r="B40" s="650" t="str">
        <f>'Table 7b'!A3</f>
        <v>Discharges from hospital when previously detained under the Mental Health Act 1983, by ethnicity, 2021-22</v>
      </c>
      <c r="C40" s="651"/>
      <c r="D40" s="651"/>
      <c r="E40" s="651"/>
      <c r="F40" s="651"/>
      <c r="G40" s="651"/>
      <c r="H40" s="651"/>
      <c r="I40" s="651"/>
      <c r="J40" s="651"/>
      <c r="K40" s="651"/>
      <c r="L40" s="652"/>
      <c r="M40" s="259"/>
      <c r="N40" s="259"/>
      <c r="O40" s="259"/>
      <c r="P40" s="259"/>
      <c r="Q40" s="259"/>
      <c r="R40" s="259"/>
      <c r="S40" s="259"/>
    </row>
    <row r="41" spans="1:19" ht="28.5" customHeight="1" x14ac:dyDescent="0.25">
      <c r="A41" s="543" t="s">
        <v>700</v>
      </c>
      <c r="B41" s="661" t="s">
        <v>815</v>
      </c>
      <c r="C41" s="651"/>
      <c r="D41" s="651"/>
      <c r="E41" s="651"/>
      <c r="F41" s="651"/>
      <c r="G41" s="651"/>
      <c r="H41" s="651"/>
      <c r="I41" s="651"/>
      <c r="J41" s="651"/>
      <c r="K41" s="651"/>
      <c r="L41" s="652"/>
      <c r="M41" s="259"/>
      <c r="N41" s="259"/>
      <c r="O41" s="259"/>
      <c r="P41" s="259"/>
      <c r="Q41" s="259"/>
      <c r="R41" s="259"/>
      <c r="S41" s="259"/>
    </row>
    <row r="42" spans="1:19" ht="29.1" customHeight="1" x14ac:dyDescent="0.25">
      <c r="A42" s="211" t="s">
        <v>701</v>
      </c>
      <c r="B42" s="661" t="s">
        <v>816</v>
      </c>
      <c r="C42" s="651"/>
      <c r="D42" s="651"/>
      <c r="E42" s="651"/>
      <c r="F42" s="651"/>
      <c r="G42" s="651"/>
      <c r="H42" s="651"/>
      <c r="I42" s="651"/>
      <c r="J42" s="651"/>
      <c r="K42" s="651"/>
      <c r="L42" s="652"/>
      <c r="M42" s="259"/>
      <c r="N42" s="259"/>
      <c r="O42" s="259"/>
      <c r="P42" s="259"/>
      <c r="Q42" s="259"/>
      <c r="R42" s="259"/>
      <c r="S42" s="259"/>
    </row>
    <row r="43" spans="1:19" x14ac:dyDescent="0.25">
      <c r="A43" s="211" t="s">
        <v>702</v>
      </c>
      <c r="B43" s="650" t="s">
        <v>703</v>
      </c>
      <c r="C43" s="651"/>
      <c r="D43" s="651"/>
      <c r="E43" s="651"/>
      <c r="F43" s="651"/>
      <c r="G43" s="651"/>
      <c r="H43" s="651"/>
      <c r="I43" s="651"/>
      <c r="J43" s="651"/>
      <c r="K43" s="651"/>
      <c r="L43" s="652"/>
      <c r="M43" s="259"/>
      <c r="N43" s="259"/>
      <c r="O43" s="259"/>
      <c r="P43" s="259"/>
      <c r="Q43" s="259"/>
      <c r="R43" s="259"/>
      <c r="S43" s="259"/>
    </row>
    <row r="44" spans="1:19" x14ac:dyDescent="0.25">
      <c r="A44" s="211" t="s">
        <v>704</v>
      </c>
      <c r="B44" s="650" t="s">
        <v>705</v>
      </c>
      <c r="C44" s="651"/>
      <c r="D44" s="651"/>
      <c r="E44" s="651"/>
      <c r="F44" s="651"/>
      <c r="G44" s="651"/>
      <c r="H44" s="651"/>
      <c r="I44" s="651"/>
      <c r="J44" s="651"/>
      <c r="K44" s="651"/>
      <c r="L44" s="652"/>
      <c r="M44" s="259"/>
      <c r="N44" s="259"/>
      <c r="O44" s="259"/>
      <c r="P44" s="259"/>
      <c r="Q44" s="259"/>
      <c r="R44" s="259"/>
      <c r="S44" s="259"/>
    </row>
    <row r="45" spans="1:19" x14ac:dyDescent="0.25">
      <c r="A45" s="196"/>
      <c r="B45" s="267"/>
      <c r="C45" s="267"/>
      <c r="D45" s="267"/>
      <c r="E45" s="267"/>
      <c r="F45" s="267"/>
      <c r="G45" s="267"/>
      <c r="H45" s="267"/>
      <c r="I45" s="267"/>
      <c r="J45" s="267"/>
      <c r="K45" s="265"/>
      <c r="L45" s="265"/>
      <c r="M45" s="259"/>
      <c r="N45" s="259"/>
      <c r="O45" s="259"/>
      <c r="P45" s="259"/>
      <c r="Q45" s="259"/>
      <c r="R45" s="259"/>
      <c r="S45" s="259"/>
    </row>
    <row r="46" spans="1:19" x14ac:dyDescent="0.25">
      <c r="A46" s="268" t="s">
        <v>28</v>
      </c>
      <c r="B46" s="265"/>
      <c r="C46" s="265"/>
      <c r="D46" s="265"/>
      <c r="E46" s="265"/>
      <c r="F46" s="265"/>
      <c r="G46" s="265"/>
      <c r="H46" s="265"/>
      <c r="I46" s="265"/>
      <c r="J46" s="265"/>
      <c r="K46" s="265"/>
      <c r="L46" s="265"/>
      <c r="M46" s="259"/>
      <c r="N46" s="259"/>
      <c r="O46" s="259"/>
      <c r="P46" s="259"/>
      <c r="Q46" s="259"/>
      <c r="R46" s="259"/>
      <c r="S46" s="259"/>
    </row>
    <row r="47" spans="1:19" x14ac:dyDescent="0.25">
      <c r="A47" s="197" t="s">
        <v>29</v>
      </c>
      <c r="B47" s="197"/>
      <c r="C47" s="265"/>
      <c r="D47" s="265"/>
      <c r="E47" s="265"/>
      <c r="F47" s="265"/>
      <c r="G47" s="265"/>
      <c r="H47" s="265"/>
      <c r="I47" s="265"/>
      <c r="J47" s="265"/>
      <c r="K47" s="265"/>
      <c r="L47" s="265"/>
      <c r="M47" s="259"/>
      <c r="N47" s="259"/>
      <c r="O47" s="259"/>
      <c r="P47" s="259"/>
      <c r="Q47" s="259"/>
      <c r="R47" s="259"/>
      <c r="S47" s="259"/>
    </row>
    <row r="48" spans="1:19" x14ac:dyDescent="0.25">
      <c r="A48" s="212" t="s">
        <v>30</v>
      </c>
      <c r="B48" s="265"/>
      <c r="C48" s="265"/>
      <c r="D48" s="265"/>
      <c r="E48" s="265"/>
      <c r="F48" s="265"/>
      <c r="G48" s="265"/>
      <c r="H48" s="265"/>
      <c r="I48" s="265"/>
      <c r="J48" s="265"/>
      <c r="K48" s="265"/>
      <c r="L48" s="265"/>
      <c r="M48" s="259"/>
      <c r="N48" s="259"/>
      <c r="O48" s="259"/>
      <c r="P48" s="259"/>
      <c r="Q48" s="259"/>
      <c r="R48" s="259"/>
      <c r="S48" s="259"/>
    </row>
    <row r="49" spans="1:19" s="198" customFormat="1" ht="13.2" x14ac:dyDescent="0.25">
      <c r="A49" s="269"/>
      <c r="B49" s="270"/>
      <c r="C49" s="270"/>
      <c r="D49" s="270"/>
      <c r="E49" s="270"/>
      <c r="F49" s="270"/>
      <c r="G49" s="270"/>
      <c r="H49" s="270"/>
      <c r="I49" s="270"/>
      <c r="J49" s="270"/>
      <c r="K49" s="270"/>
      <c r="L49" s="270"/>
      <c r="M49" s="270"/>
      <c r="N49" s="270"/>
      <c r="O49" s="270"/>
      <c r="P49" s="270"/>
      <c r="Q49" s="270"/>
      <c r="R49" s="270"/>
      <c r="S49" s="270"/>
    </row>
    <row r="50" spans="1:19" s="198" customFormat="1" x14ac:dyDescent="0.25">
      <c r="A50" s="663" t="s">
        <v>31</v>
      </c>
      <c r="B50" s="663"/>
      <c r="C50" s="270"/>
      <c r="D50" s="270"/>
      <c r="E50" s="270"/>
      <c r="F50" s="270"/>
      <c r="G50" s="270"/>
      <c r="H50" s="270"/>
      <c r="I50" s="270"/>
      <c r="J50" s="270"/>
      <c r="K50" s="270"/>
      <c r="L50" s="270"/>
      <c r="M50" s="270"/>
      <c r="N50" s="270"/>
      <c r="O50" s="270"/>
      <c r="P50" s="270"/>
      <c r="Q50" s="270"/>
      <c r="R50" s="270"/>
      <c r="S50" s="270"/>
    </row>
    <row r="51" spans="1:19" s="198" customFormat="1" x14ac:dyDescent="0.25">
      <c r="A51" s="271" t="s">
        <v>32</v>
      </c>
      <c r="B51" s="271"/>
      <c r="C51" s="270"/>
      <c r="D51" s="270"/>
      <c r="E51" s="270"/>
      <c r="F51" s="270"/>
      <c r="G51" s="270"/>
      <c r="H51" s="270"/>
      <c r="I51" s="270"/>
      <c r="J51" s="270"/>
      <c r="K51" s="270"/>
      <c r="L51" s="270"/>
      <c r="M51" s="270"/>
      <c r="N51" s="270"/>
      <c r="O51" s="270"/>
      <c r="P51" s="270"/>
      <c r="Q51" s="270"/>
      <c r="R51" s="270"/>
      <c r="S51" s="270"/>
    </row>
    <row r="52" spans="1:19" s="198" customFormat="1" ht="14.55" customHeight="1" x14ac:dyDescent="0.25">
      <c r="A52" s="271" t="s">
        <v>33</v>
      </c>
      <c r="B52" s="271"/>
      <c r="C52" s="270"/>
      <c r="D52" s="270"/>
      <c r="E52" s="270"/>
      <c r="F52" s="270"/>
      <c r="G52" s="270"/>
      <c r="H52" s="270"/>
      <c r="I52" s="270"/>
      <c r="J52" s="270"/>
      <c r="K52" s="270"/>
      <c r="L52" s="270"/>
      <c r="M52" s="270"/>
      <c r="N52" s="270"/>
      <c r="O52" s="270"/>
      <c r="P52" s="270"/>
      <c r="Q52" s="270"/>
      <c r="R52" s="270"/>
      <c r="S52" s="270"/>
    </row>
    <row r="53" spans="1:19" s="198" customFormat="1" x14ac:dyDescent="0.25">
      <c r="A53" s="347"/>
      <c r="B53" s="347"/>
      <c r="C53" s="270"/>
      <c r="D53" s="270"/>
      <c r="E53" s="270"/>
      <c r="F53" s="270"/>
      <c r="G53" s="270"/>
      <c r="H53" s="270"/>
      <c r="I53" s="270"/>
      <c r="J53" s="270"/>
      <c r="K53" s="270"/>
      <c r="L53" s="270"/>
      <c r="M53" s="270"/>
      <c r="N53" s="270"/>
      <c r="O53" s="270"/>
      <c r="P53" s="270"/>
      <c r="Q53" s="270"/>
      <c r="R53" s="270"/>
      <c r="S53" s="270"/>
    </row>
    <row r="54" spans="1:19" s="198" customFormat="1" ht="14.55" customHeight="1" x14ac:dyDescent="0.25">
      <c r="A54" s="202" t="s">
        <v>34</v>
      </c>
      <c r="B54" s="202"/>
      <c r="C54" s="270"/>
      <c r="D54" s="270"/>
      <c r="E54" s="270"/>
      <c r="F54" s="270"/>
      <c r="G54" s="270"/>
      <c r="H54" s="270"/>
      <c r="I54" s="270"/>
      <c r="J54" s="270"/>
      <c r="K54" s="270"/>
      <c r="L54" s="270"/>
      <c r="M54" s="270"/>
      <c r="N54" s="270"/>
      <c r="O54" s="270"/>
      <c r="P54" s="270"/>
      <c r="Q54" s="270"/>
      <c r="R54" s="270"/>
      <c r="S54" s="270"/>
    </row>
    <row r="55" spans="1:19" s="198" customFormat="1" ht="14.55" customHeight="1" x14ac:dyDescent="0.25">
      <c r="A55" s="202" t="s">
        <v>35</v>
      </c>
      <c r="B55" s="202"/>
      <c r="C55" s="270"/>
      <c r="D55" s="270"/>
      <c r="E55" s="270"/>
      <c r="F55" s="270"/>
      <c r="G55" s="270"/>
      <c r="H55" s="270"/>
      <c r="I55" s="270"/>
      <c r="J55" s="270"/>
      <c r="K55" s="270"/>
      <c r="L55" s="270"/>
      <c r="M55" s="270"/>
      <c r="N55" s="270"/>
      <c r="O55" s="270"/>
      <c r="P55" s="270"/>
      <c r="Q55" s="270"/>
      <c r="R55" s="270"/>
      <c r="S55" s="270"/>
    </row>
    <row r="56" spans="1:19" s="198" customFormat="1" ht="14.55" customHeight="1" x14ac:dyDescent="0.25">
      <c r="A56" s="202" t="s">
        <v>36</v>
      </c>
      <c r="B56" s="202"/>
      <c r="C56" s="202"/>
      <c r="D56" s="270"/>
      <c r="E56" s="270"/>
      <c r="F56" s="270"/>
      <c r="G56" s="270"/>
      <c r="H56" s="270"/>
      <c r="I56" s="270"/>
      <c r="J56" s="270"/>
      <c r="K56" s="270"/>
      <c r="L56" s="270"/>
      <c r="M56" s="270"/>
      <c r="N56" s="270"/>
      <c r="O56" s="270"/>
      <c r="P56" s="270"/>
      <c r="Q56" s="270"/>
      <c r="R56" s="270"/>
      <c r="S56" s="270"/>
    </row>
    <row r="57" spans="1:19" s="198" customFormat="1" x14ac:dyDescent="0.25">
      <c r="A57" s="662"/>
      <c r="B57" s="662"/>
      <c r="C57" s="270"/>
      <c r="D57" s="270"/>
      <c r="E57" s="270"/>
      <c r="F57" s="270"/>
      <c r="G57" s="270"/>
      <c r="H57" s="270"/>
      <c r="I57" s="270"/>
      <c r="J57" s="270"/>
      <c r="K57" s="270"/>
      <c r="L57" s="270"/>
      <c r="M57" s="270"/>
      <c r="N57" s="270"/>
      <c r="O57" s="270"/>
      <c r="P57" s="270"/>
      <c r="Q57" s="270"/>
      <c r="R57" s="270"/>
      <c r="S57" s="270"/>
    </row>
    <row r="58" spans="1:19" s="198" customFormat="1" ht="29.55" customHeight="1" x14ac:dyDescent="0.25">
      <c r="A58" s="662"/>
      <c r="B58" s="662"/>
      <c r="C58" s="270"/>
      <c r="D58" s="270"/>
      <c r="E58" s="270"/>
      <c r="F58" s="270"/>
      <c r="G58" s="270"/>
      <c r="H58" s="270"/>
      <c r="I58" s="270"/>
      <c r="J58" s="270"/>
      <c r="K58" s="270"/>
      <c r="L58" s="270"/>
      <c r="M58" s="270"/>
      <c r="N58" s="270"/>
      <c r="O58" s="270"/>
      <c r="P58" s="270"/>
      <c r="Q58" s="270"/>
      <c r="R58" s="270"/>
      <c r="S58" s="270"/>
    </row>
    <row r="59" spans="1:19" s="198" customFormat="1" x14ac:dyDescent="0.25">
      <c r="A59" s="662"/>
      <c r="B59" s="662"/>
      <c r="C59" s="270"/>
      <c r="D59" s="270"/>
      <c r="E59" s="270"/>
      <c r="F59" s="270"/>
      <c r="G59" s="270"/>
      <c r="H59" s="270"/>
      <c r="I59" s="270"/>
      <c r="J59" s="270"/>
      <c r="K59" s="270"/>
      <c r="L59" s="270"/>
      <c r="M59" s="270"/>
      <c r="N59" s="270"/>
      <c r="O59" s="270"/>
      <c r="P59" s="270"/>
      <c r="Q59" s="270"/>
      <c r="R59" s="270"/>
      <c r="S59" s="270"/>
    </row>
    <row r="60" spans="1:19" s="198" customFormat="1" ht="15.75" customHeight="1" x14ac:dyDescent="0.25">
      <c r="A60" s="202" t="s">
        <v>37</v>
      </c>
      <c r="B60" s="202"/>
      <c r="C60" s="270"/>
      <c r="D60" s="270"/>
      <c r="E60" s="270"/>
      <c r="F60" s="270"/>
      <c r="G60" s="270"/>
      <c r="H60" s="270"/>
      <c r="I60" s="270"/>
      <c r="J60" s="270"/>
      <c r="K60" s="270"/>
      <c r="L60" s="270"/>
      <c r="M60" s="270"/>
      <c r="N60" s="270"/>
      <c r="O60" s="270"/>
      <c r="P60" s="270"/>
      <c r="Q60" s="270"/>
      <c r="R60" s="270"/>
      <c r="S60" s="270"/>
    </row>
    <row r="61" spans="1:19" s="198" customFormat="1" ht="15.75" customHeight="1" x14ac:dyDescent="0.25">
      <c r="A61" s="202" t="s">
        <v>38</v>
      </c>
      <c r="B61" s="202"/>
      <c r="C61" s="270"/>
      <c r="D61" s="270"/>
      <c r="E61" s="270"/>
      <c r="F61" s="270"/>
      <c r="G61" s="270"/>
      <c r="H61" s="270"/>
      <c r="I61" s="270"/>
      <c r="J61" s="270"/>
      <c r="K61" s="270"/>
      <c r="L61" s="270"/>
      <c r="M61" s="270"/>
      <c r="N61" s="270"/>
      <c r="O61" s="270"/>
      <c r="P61" s="270"/>
      <c r="Q61" s="270"/>
      <c r="R61" s="270"/>
      <c r="S61" s="270"/>
    </row>
    <row r="62" spans="1:19" s="198" customFormat="1" ht="15.75" customHeight="1" x14ac:dyDescent="0.25">
      <c r="A62" s="199" t="s">
        <v>39</v>
      </c>
      <c r="B62" s="199"/>
      <c r="C62" s="270"/>
      <c r="D62" s="270"/>
      <c r="E62" s="270"/>
      <c r="F62" s="270"/>
      <c r="G62" s="270"/>
      <c r="H62" s="270"/>
      <c r="I62" s="270"/>
      <c r="J62" s="270"/>
      <c r="K62" s="270"/>
      <c r="L62" s="270"/>
      <c r="M62" s="270"/>
      <c r="N62" s="270"/>
      <c r="O62" s="270"/>
      <c r="P62" s="270"/>
      <c r="Q62" s="270"/>
      <c r="R62" s="270"/>
      <c r="S62" s="270"/>
    </row>
    <row r="63" spans="1:19" s="198" customFormat="1" ht="15.75" customHeight="1" x14ac:dyDescent="0.25">
      <c r="A63" s="202" t="s">
        <v>40</v>
      </c>
      <c r="B63" s="202"/>
      <c r="C63" s="270"/>
      <c r="D63" s="270"/>
      <c r="E63" s="270"/>
      <c r="F63" s="270"/>
      <c r="G63" s="270"/>
      <c r="H63" s="270"/>
      <c r="I63" s="270"/>
      <c r="J63" s="270"/>
      <c r="K63" s="270"/>
      <c r="L63" s="270"/>
      <c r="M63" s="270"/>
      <c r="N63" s="270"/>
      <c r="O63" s="270"/>
      <c r="P63" s="270"/>
      <c r="Q63" s="270"/>
      <c r="R63" s="270"/>
      <c r="S63" s="270"/>
    </row>
    <row r="64" spans="1:19" s="198" customFormat="1" ht="15.75" customHeight="1" x14ac:dyDescent="0.25">
      <c r="A64" s="202" t="s">
        <v>41</v>
      </c>
      <c r="B64" s="202"/>
      <c r="C64" s="270"/>
      <c r="D64" s="270"/>
      <c r="E64" s="270"/>
      <c r="F64" s="270"/>
      <c r="G64" s="270"/>
      <c r="H64" s="270"/>
      <c r="I64" s="270"/>
      <c r="J64" s="270"/>
      <c r="K64" s="270"/>
      <c r="L64" s="270"/>
      <c r="M64" s="270"/>
      <c r="N64" s="270"/>
      <c r="O64" s="270"/>
      <c r="P64" s="270"/>
      <c r="Q64" s="270"/>
      <c r="R64" s="270"/>
      <c r="S64" s="270"/>
    </row>
    <row r="65" spans="1:19" s="198" customFormat="1" ht="15.75" customHeight="1" x14ac:dyDescent="0.25">
      <c r="A65" s="202" t="s">
        <v>42</v>
      </c>
      <c r="B65" s="202"/>
      <c r="C65" s="270"/>
      <c r="D65" s="270"/>
      <c r="E65" s="270"/>
      <c r="F65" s="270"/>
      <c r="G65" s="270"/>
      <c r="H65" s="270"/>
      <c r="I65" s="270"/>
      <c r="J65" s="270"/>
      <c r="K65" s="270"/>
      <c r="L65" s="270"/>
      <c r="M65" s="270"/>
      <c r="N65" s="270"/>
      <c r="O65" s="270"/>
      <c r="P65" s="270"/>
      <c r="Q65" s="270"/>
      <c r="R65" s="270"/>
      <c r="S65" s="270"/>
    </row>
    <row r="66" spans="1:19" s="198" customFormat="1" ht="13.2" x14ac:dyDescent="0.25">
      <c r="A66" s="270"/>
      <c r="B66" s="270"/>
      <c r="C66" s="270"/>
      <c r="D66" s="270"/>
      <c r="E66" s="270"/>
      <c r="F66" s="270"/>
      <c r="G66" s="270"/>
      <c r="H66" s="270"/>
      <c r="I66" s="270"/>
      <c r="J66" s="270"/>
      <c r="K66" s="270"/>
      <c r="L66" s="270"/>
      <c r="M66" s="270"/>
      <c r="N66" s="270"/>
      <c r="O66" s="270"/>
      <c r="P66" s="270"/>
      <c r="Q66" s="270"/>
      <c r="R66" s="270"/>
      <c r="S66" s="270"/>
    </row>
  </sheetData>
  <mergeCells count="40">
    <mergeCell ref="A8:L8"/>
    <mergeCell ref="B30:L30"/>
    <mergeCell ref="B33:L33"/>
    <mergeCell ref="B36:L36"/>
    <mergeCell ref="B37:L37"/>
    <mergeCell ref="A13:J13"/>
    <mergeCell ref="B19:L19"/>
    <mergeCell ref="A9:C9"/>
    <mergeCell ref="B35:L35"/>
    <mergeCell ref="B26:L26"/>
    <mergeCell ref="B20:L20"/>
    <mergeCell ref="B21:L21"/>
    <mergeCell ref="B25:L25"/>
    <mergeCell ref="D9:F9"/>
    <mergeCell ref="G9:I9"/>
    <mergeCell ref="B34:L34"/>
    <mergeCell ref="B38:L38"/>
    <mergeCell ref="B39:L39"/>
    <mergeCell ref="B40:L40"/>
    <mergeCell ref="B42:L42"/>
    <mergeCell ref="A59:B59"/>
    <mergeCell ref="A57:B57"/>
    <mergeCell ref="A50:B50"/>
    <mergeCell ref="B41:L41"/>
    <mergeCell ref="B43:L43"/>
    <mergeCell ref="B44:L44"/>
    <mergeCell ref="A58:B58"/>
    <mergeCell ref="B32:L32"/>
    <mergeCell ref="B31:L31"/>
    <mergeCell ref="J9:L9"/>
    <mergeCell ref="A14:J14"/>
    <mergeCell ref="A10:F10"/>
    <mergeCell ref="A11:F11"/>
    <mergeCell ref="A16:M16"/>
    <mergeCell ref="B22:L22"/>
    <mergeCell ref="B23:L23"/>
    <mergeCell ref="B24:L24"/>
    <mergeCell ref="B27:L27"/>
    <mergeCell ref="B28:L28"/>
    <mergeCell ref="B29:L29"/>
  </mergeCells>
  <hyperlinks>
    <hyperlink ref="A65" r:id="rId1" display="mailto:psi@nationalarchives.gsi.gov.uk"/>
    <hyperlink ref="A62" r:id="rId2" display="http://www.nationalarchives.gov.uk/doc/open-government-licence"/>
    <hyperlink ref="A11:F11" r:id="rId3" display="Link to publication: http://digital.nhs.uk/pubs/mha1920"/>
    <hyperlink ref="A20" location="'Table 1a'!A1" display="Table 1a"/>
    <hyperlink ref="A21" location="'Table 1b'!A1" display="Table 1b"/>
    <hyperlink ref="A22" location="'Table 1c'!A1" display="Table 1c"/>
    <hyperlink ref="A23" location="'Table 1d'!A1" display="Table 1d"/>
    <hyperlink ref="A24" location="'Table 1e'!A1" display="Table 1e"/>
    <hyperlink ref="A25" location="'Table 1f'!A1" display="Table 1f"/>
    <hyperlink ref="A26" location="'Table 1g'!A1" display="Table 1g"/>
    <hyperlink ref="A27" location="'Table 1h'!A1" display="Table 1h"/>
    <hyperlink ref="A30" location="'Table 2a'!A1" display="Table 2a"/>
    <hyperlink ref="A31" location="'Table 2b'!A1" display="Table 2b"/>
    <hyperlink ref="A32" location="'Table 2c'!A1" display="Table 2c"/>
    <hyperlink ref="A33" location="'Table 3a'!A1" display="Table 3a"/>
    <hyperlink ref="A34" location="'Table 3b'!A1" display="Table 3b"/>
    <hyperlink ref="A35" location="'Table 3c'!A1" display="Table 3c"/>
    <hyperlink ref="A36" location="'Table 4'!A1" display="Table 4"/>
    <hyperlink ref="A37" location="'Table 5'!A1" display="Table 5"/>
    <hyperlink ref="A38" location="'Table 6'!Print_Area" display="Table 6"/>
    <hyperlink ref="A39" location="'Table 7a'!Print_Area" display="Table 7a"/>
    <hyperlink ref="A40" location="'Table 7b'!Print_Area" display="Table 7b"/>
    <hyperlink ref="A41" location="'Table 8a'!A1" display="Table 8a"/>
    <hyperlink ref="A42" location="'Table 8b'!A1" display="Table 8b"/>
    <hyperlink ref="A43" location="'Table 8c'!A1" display="Table 8c"/>
    <hyperlink ref="A44" location="'Appendix 1'!A1" display="Appendix 1"/>
    <hyperlink ref="A28" location="'Table 1i'!A1" display="Table 1i"/>
  </hyperlinks>
  <pageMargins left="0.23622047244094491" right="0.23622047244094491" top="0.74803149606299213" bottom="0.74803149606299213" header="0.31496062992125984" footer="0.31496062992125984"/>
  <pageSetup paperSize="9" scale="62"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59"/>
  <sheetViews>
    <sheetView showGridLines="0" zoomScaleNormal="100" workbookViewId="0">
      <selection sqref="A1:E1"/>
    </sheetView>
  </sheetViews>
  <sheetFormatPr defaultColWidth="9" defaultRowHeight="13.2" x14ac:dyDescent="0.25"/>
  <cols>
    <col min="1" max="1" width="67.5" style="1" customWidth="1"/>
    <col min="2" max="2" width="10.59765625" style="357" customWidth="1"/>
    <col min="3" max="7" width="10.59765625" style="1" customWidth="1"/>
    <col min="8" max="11" width="10.69921875" style="1" customWidth="1"/>
    <col min="12" max="12" width="10.69921875" style="357" customWidth="1"/>
    <col min="13" max="20" width="10.59765625" style="1" customWidth="1"/>
    <col min="21" max="21" width="9.09765625" style="1" customWidth="1"/>
    <col min="22" max="22" width="10.59765625" style="357" customWidth="1"/>
    <col min="23" max="34" width="10.59765625" style="1" customWidth="1"/>
    <col min="35" max="35" width="9" style="1"/>
    <col min="36" max="36" width="22.09765625" style="1" customWidth="1"/>
    <col min="37" max="232" width="9" style="1"/>
    <col min="233" max="233" width="1.19921875" style="1" customWidth="1"/>
    <col min="234" max="234" width="70.59765625" style="1" customWidth="1"/>
    <col min="235" max="239" width="10.59765625" style="1" customWidth="1"/>
    <col min="240" max="488" width="9" style="1"/>
    <col min="489" max="489" width="1.19921875" style="1" customWidth="1"/>
    <col min="490" max="490" width="70.59765625" style="1" customWidth="1"/>
    <col min="491" max="495" width="10.59765625" style="1" customWidth="1"/>
    <col min="496" max="744" width="9" style="1"/>
    <col min="745" max="745" width="1.19921875" style="1" customWidth="1"/>
    <col min="746" max="746" width="70.59765625" style="1" customWidth="1"/>
    <col min="747" max="751" width="10.59765625" style="1" customWidth="1"/>
    <col min="752" max="1000" width="9" style="1"/>
    <col min="1001" max="1001" width="1.19921875" style="1" customWidth="1"/>
    <col min="1002" max="1002" width="70.59765625" style="1" customWidth="1"/>
    <col min="1003" max="1007" width="10.59765625" style="1" customWidth="1"/>
    <col min="1008" max="1256" width="9" style="1"/>
    <col min="1257" max="1257" width="1.19921875" style="1" customWidth="1"/>
    <col min="1258" max="1258" width="70.59765625" style="1" customWidth="1"/>
    <col min="1259" max="1263" width="10.59765625" style="1" customWidth="1"/>
    <col min="1264" max="1512" width="9" style="1"/>
    <col min="1513" max="1513" width="1.19921875" style="1" customWidth="1"/>
    <col min="1514" max="1514" width="70.59765625" style="1" customWidth="1"/>
    <col min="1515" max="1519" width="10.59765625" style="1" customWidth="1"/>
    <col min="1520" max="1768" width="9" style="1"/>
    <col min="1769" max="1769" width="1.19921875" style="1" customWidth="1"/>
    <col min="1770" max="1770" width="70.59765625" style="1" customWidth="1"/>
    <col min="1771" max="1775" width="10.59765625" style="1" customWidth="1"/>
    <col min="1776" max="2024" width="9" style="1"/>
    <col min="2025" max="2025" width="1.19921875" style="1" customWidth="1"/>
    <col min="2026" max="2026" width="70.59765625" style="1" customWidth="1"/>
    <col min="2027" max="2031" width="10.59765625" style="1" customWidth="1"/>
    <col min="2032" max="2280" width="9" style="1"/>
    <col min="2281" max="2281" width="1.19921875" style="1" customWidth="1"/>
    <col min="2282" max="2282" width="70.59765625" style="1" customWidth="1"/>
    <col min="2283" max="2287" width="10.59765625" style="1" customWidth="1"/>
    <col min="2288" max="2536" width="9" style="1"/>
    <col min="2537" max="2537" width="1.19921875" style="1" customWidth="1"/>
    <col min="2538" max="2538" width="70.59765625" style="1" customWidth="1"/>
    <col min="2539" max="2543" width="10.59765625" style="1" customWidth="1"/>
    <col min="2544" max="2792" width="9" style="1"/>
    <col min="2793" max="2793" width="1.19921875" style="1" customWidth="1"/>
    <col min="2794" max="2794" width="70.59765625" style="1" customWidth="1"/>
    <col min="2795" max="2799" width="10.59765625" style="1" customWidth="1"/>
    <col min="2800" max="3048" width="9" style="1"/>
    <col min="3049" max="3049" width="1.19921875" style="1" customWidth="1"/>
    <col min="3050" max="3050" width="70.59765625" style="1" customWidth="1"/>
    <col min="3051" max="3055" width="10.59765625" style="1" customWidth="1"/>
    <col min="3056" max="3304" width="9" style="1"/>
    <col min="3305" max="3305" width="1.19921875" style="1" customWidth="1"/>
    <col min="3306" max="3306" width="70.59765625" style="1" customWidth="1"/>
    <col min="3307" max="3311" width="10.59765625" style="1" customWidth="1"/>
    <col min="3312" max="3560" width="9" style="1"/>
    <col min="3561" max="3561" width="1.19921875" style="1" customWidth="1"/>
    <col min="3562" max="3562" width="70.59765625" style="1" customWidth="1"/>
    <col min="3563" max="3567" width="10.59765625" style="1" customWidth="1"/>
    <col min="3568" max="3816" width="9" style="1"/>
    <col min="3817" max="3817" width="1.19921875" style="1" customWidth="1"/>
    <col min="3818" max="3818" width="70.59765625" style="1" customWidth="1"/>
    <col min="3819" max="3823" width="10.59765625" style="1" customWidth="1"/>
    <col min="3824" max="4072" width="9" style="1"/>
    <col min="4073" max="4073" width="1.19921875" style="1" customWidth="1"/>
    <col min="4074" max="4074" width="70.59765625" style="1" customWidth="1"/>
    <col min="4075" max="4079" width="10.59765625" style="1" customWidth="1"/>
    <col min="4080" max="4328" width="9" style="1"/>
    <col min="4329" max="4329" width="1.19921875" style="1" customWidth="1"/>
    <col min="4330" max="4330" width="70.59765625" style="1" customWidth="1"/>
    <col min="4331" max="4335" width="10.59765625" style="1" customWidth="1"/>
    <col min="4336" max="4584" width="9" style="1"/>
    <col min="4585" max="4585" width="1.19921875" style="1" customWidth="1"/>
    <col min="4586" max="4586" width="70.59765625" style="1" customWidth="1"/>
    <col min="4587" max="4591" width="10.59765625" style="1" customWidth="1"/>
    <col min="4592" max="4840" width="9" style="1"/>
    <col min="4841" max="4841" width="1.19921875" style="1" customWidth="1"/>
    <col min="4842" max="4842" width="70.59765625" style="1" customWidth="1"/>
    <col min="4843" max="4847" width="10.59765625" style="1" customWidth="1"/>
    <col min="4848" max="5096" width="9" style="1"/>
    <col min="5097" max="5097" width="1.19921875" style="1" customWidth="1"/>
    <col min="5098" max="5098" width="70.59765625" style="1" customWidth="1"/>
    <col min="5099" max="5103" width="10.59765625" style="1" customWidth="1"/>
    <col min="5104" max="5352" width="9" style="1"/>
    <col min="5353" max="5353" width="1.19921875" style="1" customWidth="1"/>
    <col min="5354" max="5354" width="70.59765625" style="1" customWidth="1"/>
    <col min="5355" max="5359" width="10.59765625" style="1" customWidth="1"/>
    <col min="5360" max="5608" width="9" style="1"/>
    <col min="5609" max="5609" width="1.19921875" style="1" customWidth="1"/>
    <col min="5610" max="5610" width="70.59765625" style="1" customWidth="1"/>
    <col min="5611" max="5615" width="10.59765625" style="1" customWidth="1"/>
    <col min="5616" max="5864" width="9" style="1"/>
    <col min="5865" max="5865" width="1.19921875" style="1" customWidth="1"/>
    <col min="5866" max="5866" width="70.59765625" style="1" customWidth="1"/>
    <col min="5867" max="5871" width="10.59765625" style="1" customWidth="1"/>
    <col min="5872" max="6120" width="9" style="1"/>
    <col min="6121" max="6121" width="1.19921875" style="1" customWidth="1"/>
    <col min="6122" max="6122" width="70.59765625" style="1" customWidth="1"/>
    <col min="6123" max="6127" width="10.59765625" style="1" customWidth="1"/>
    <col min="6128" max="6376" width="9" style="1"/>
    <col min="6377" max="6377" width="1.19921875" style="1" customWidth="1"/>
    <col min="6378" max="6378" width="70.59765625" style="1" customWidth="1"/>
    <col min="6379" max="6383" width="10.59765625" style="1" customWidth="1"/>
    <col min="6384" max="6632" width="9" style="1"/>
    <col min="6633" max="6633" width="1.19921875" style="1" customWidth="1"/>
    <col min="6634" max="6634" width="70.59765625" style="1" customWidth="1"/>
    <col min="6635" max="6639" width="10.59765625" style="1" customWidth="1"/>
    <col min="6640" max="6888" width="9" style="1"/>
    <col min="6889" max="6889" width="1.19921875" style="1" customWidth="1"/>
    <col min="6890" max="6890" width="70.59765625" style="1" customWidth="1"/>
    <col min="6891" max="6895" width="10.59765625" style="1" customWidth="1"/>
    <col min="6896" max="7144" width="9" style="1"/>
    <col min="7145" max="7145" width="1.19921875" style="1" customWidth="1"/>
    <col min="7146" max="7146" width="70.59765625" style="1" customWidth="1"/>
    <col min="7147" max="7151" width="10.59765625" style="1" customWidth="1"/>
    <col min="7152" max="7400" width="9" style="1"/>
    <col min="7401" max="7401" width="1.19921875" style="1" customWidth="1"/>
    <col min="7402" max="7402" width="70.59765625" style="1" customWidth="1"/>
    <col min="7403" max="7407" width="10.59765625" style="1" customWidth="1"/>
    <col min="7408" max="7656" width="9" style="1"/>
    <col min="7657" max="7657" width="1.19921875" style="1" customWidth="1"/>
    <col min="7658" max="7658" width="70.59765625" style="1" customWidth="1"/>
    <col min="7659" max="7663" width="10.59765625" style="1" customWidth="1"/>
    <col min="7664" max="7912" width="9" style="1"/>
    <col min="7913" max="7913" width="1.19921875" style="1" customWidth="1"/>
    <col min="7914" max="7914" width="70.59765625" style="1" customWidth="1"/>
    <col min="7915" max="7919" width="10.59765625" style="1" customWidth="1"/>
    <col min="7920" max="8168" width="9" style="1"/>
    <col min="8169" max="8169" width="1.19921875" style="1" customWidth="1"/>
    <col min="8170" max="8170" width="70.59765625" style="1" customWidth="1"/>
    <col min="8171" max="8175" width="10.59765625" style="1" customWidth="1"/>
    <col min="8176" max="8424" width="9" style="1"/>
    <col min="8425" max="8425" width="1.19921875" style="1" customWidth="1"/>
    <col min="8426" max="8426" width="70.59765625" style="1" customWidth="1"/>
    <col min="8427" max="8431" width="10.59765625" style="1" customWidth="1"/>
    <col min="8432" max="8680" width="9" style="1"/>
    <col min="8681" max="8681" width="1.19921875" style="1" customWidth="1"/>
    <col min="8682" max="8682" width="70.59765625" style="1" customWidth="1"/>
    <col min="8683" max="8687" width="10.59765625" style="1" customWidth="1"/>
    <col min="8688" max="8936" width="9" style="1"/>
    <col min="8937" max="8937" width="1.19921875" style="1" customWidth="1"/>
    <col min="8938" max="8938" width="70.59765625" style="1" customWidth="1"/>
    <col min="8939" max="8943" width="10.59765625" style="1" customWidth="1"/>
    <col min="8944" max="9192" width="9" style="1"/>
    <col min="9193" max="9193" width="1.19921875" style="1" customWidth="1"/>
    <col min="9194" max="9194" width="70.59765625" style="1" customWidth="1"/>
    <col min="9195" max="9199" width="10.59765625" style="1" customWidth="1"/>
    <col min="9200" max="9448" width="9" style="1"/>
    <col min="9449" max="9449" width="1.19921875" style="1" customWidth="1"/>
    <col min="9450" max="9450" width="70.59765625" style="1" customWidth="1"/>
    <col min="9451" max="9455" width="10.59765625" style="1" customWidth="1"/>
    <col min="9456" max="9704" width="9" style="1"/>
    <col min="9705" max="9705" width="1.19921875" style="1" customWidth="1"/>
    <col min="9706" max="9706" width="70.59765625" style="1" customWidth="1"/>
    <col min="9707" max="9711" width="10.59765625" style="1" customWidth="1"/>
    <col min="9712" max="9960" width="9" style="1"/>
    <col min="9961" max="9961" width="1.19921875" style="1" customWidth="1"/>
    <col min="9962" max="9962" width="70.59765625" style="1" customWidth="1"/>
    <col min="9963" max="9967" width="10.59765625" style="1" customWidth="1"/>
    <col min="9968" max="10216" width="9" style="1"/>
    <col min="10217" max="10217" width="1.19921875" style="1" customWidth="1"/>
    <col min="10218" max="10218" width="70.59765625" style="1" customWidth="1"/>
    <col min="10219" max="10223" width="10.59765625" style="1" customWidth="1"/>
    <col min="10224" max="10472" width="9" style="1"/>
    <col min="10473" max="10473" width="1.19921875" style="1" customWidth="1"/>
    <col min="10474" max="10474" width="70.59765625" style="1" customWidth="1"/>
    <col min="10475" max="10479" width="10.59765625" style="1" customWidth="1"/>
    <col min="10480" max="10728" width="9" style="1"/>
    <col min="10729" max="10729" width="1.19921875" style="1" customWidth="1"/>
    <col min="10730" max="10730" width="70.59765625" style="1" customWidth="1"/>
    <col min="10731" max="10735" width="10.59765625" style="1" customWidth="1"/>
    <col min="10736" max="10984" width="9" style="1"/>
    <col min="10985" max="10985" width="1.19921875" style="1" customWidth="1"/>
    <col min="10986" max="10986" width="70.59765625" style="1" customWidth="1"/>
    <col min="10987" max="10991" width="10.59765625" style="1" customWidth="1"/>
    <col min="10992" max="11240" width="9" style="1"/>
    <col min="11241" max="11241" width="1.19921875" style="1" customWidth="1"/>
    <col min="11242" max="11242" width="70.59765625" style="1" customWidth="1"/>
    <col min="11243" max="11247" width="10.59765625" style="1" customWidth="1"/>
    <col min="11248" max="11496" width="9" style="1"/>
    <col min="11497" max="11497" width="1.19921875" style="1" customWidth="1"/>
    <col min="11498" max="11498" width="70.59765625" style="1" customWidth="1"/>
    <col min="11499" max="11503" width="10.59765625" style="1" customWidth="1"/>
    <col min="11504" max="11752" width="9" style="1"/>
    <col min="11753" max="11753" width="1.19921875" style="1" customWidth="1"/>
    <col min="11754" max="11754" width="70.59765625" style="1" customWidth="1"/>
    <col min="11755" max="11759" width="10.59765625" style="1" customWidth="1"/>
    <col min="11760" max="12008" width="9" style="1"/>
    <col min="12009" max="12009" width="1.19921875" style="1" customWidth="1"/>
    <col min="12010" max="12010" width="70.59765625" style="1" customWidth="1"/>
    <col min="12011" max="12015" width="10.59765625" style="1" customWidth="1"/>
    <col min="12016" max="12264" width="9" style="1"/>
    <col min="12265" max="12265" width="1.19921875" style="1" customWidth="1"/>
    <col min="12266" max="12266" width="70.59765625" style="1" customWidth="1"/>
    <col min="12267" max="12271" width="10.59765625" style="1" customWidth="1"/>
    <col min="12272" max="12520" width="9" style="1"/>
    <col min="12521" max="12521" width="1.19921875" style="1" customWidth="1"/>
    <col min="12522" max="12522" width="70.59765625" style="1" customWidth="1"/>
    <col min="12523" max="12527" width="10.59765625" style="1" customWidth="1"/>
    <col min="12528" max="12776" width="9" style="1"/>
    <col min="12777" max="12777" width="1.19921875" style="1" customWidth="1"/>
    <col min="12778" max="12778" width="70.59765625" style="1" customWidth="1"/>
    <col min="12779" max="12783" width="10.59765625" style="1" customWidth="1"/>
    <col min="12784" max="13032" width="9" style="1"/>
    <col min="13033" max="13033" width="1.19921875" style="1" customWidth="1"/>
    <col min="13034" max="13034" width="70.59765625" style="1" customWidth="1"/>
    <col min="13035" max="13039" width="10.59765625" style="1" customWidth="1"/>
    <col min="13040" max="13288" width="9" style="1"/>
    <col min="13289" max="13289" width="1.19921875" style="1" customWidth="1"/>
    <col min="13290" max="13290" width="70.59765625" style="1" customWidth="1"/>
    <col min="13291" max="13295" width="10.59765625" style="1" customWidth="1"/>
    <col min="13296" max="13544" width="9" style="1"/>
    <col min="13545" max="13545" width="1.19921875" style="1" customWidth="1"/>
    <col min="13546" max="13546" width="70.59765625" style="1" customWidth="1"/>
    <col min="13547" max="13551" width="10.59765625" style="1" customWidth="1"/>
    <col min="13552" max="13800" width="9" style="1"/>
    <col min="13801" max="13801" width="1.19921875" style="1" customWidth="1"/>
    <col min="13802" max="13802" width="70.59765625" style="1" customWidth="1"/>
    <col min="13803" max="13807" width="10.59765625" style="1" customWidth="1"/>
    <col min="13808" max="14056" width="9" style="1"/>
    <col min="14057" max="14057" width="1.19921875" style="1" customWidth="1"/>
    <col min="14058" max="14058" width="70.59765625" style="1" customWidth="1"/>
    <col min="14059" max="14063" width="10.59765625" style="1" customWidth="1"/>
    <col min="14064" max="14312" width="9" style="1"/>
    <col min="14313" max="14313" width="1.19921875" style="1" customWidth="1"/>
    <col min="14314" max="14314" width="70.59765625" style="1" customWidth="1"/>
    <col min="14315" max="14319" width="10.59765625" style="1" customWidth="1"/>
    <col min="14320" max="14568" width="9" style="1"/>
    <col min="14569" max="14569" width="1.19921875" style="1" customWidth="1"/>
    <col min="14570" max="14570" width="70.59765625" style="1" customWidth="1"/>
    <col min="14571" max="14575" width="10.59765625" style="1" customWidth="1"/>
    <col min="14576" max="14824" width="9" style="1"/>
    <col min="14825" max="14825" width="1.19921875" style="1" customWidth="1"/>
    <col min="14826" max="14826" width="70.59765625" style="1" customWidth="1"/>
    <col min="14827" max="14831" width="10.59765625" style="1" customWidth="1"/>
    <col min="14832" max="15080" width="9" style="1"/>
    <col min="15081" max="15081" width="1.19921875" style="1" customWidth="1"/>
    <col min="15082" max="15082" width="70.59765625" style="1" customWidth="1"/>
    <col min="15083" max="15087" width="10.59765625" style="1" customWidth="1"/>
    <col min="15088" max="15336" width="9" style="1"/>
    <col min="15337" max="15337" width="1.19921875" style="1" customWidth="1"/>
    <col min="15338" max="15338" width="70.59765625" style="1" customWidth="1"/>
    <col min="15339" max="15343" width="10.59765625" style="1" customWidth="1"/>
    <col min="15344" max="15592" width="9" style="1"/>
    <col min="15593" max="15593" width="1.19921875" style="1" customWidth="1"/>
    <col min="15594" max="15594" width="70.59765625" style="1" customWidth="1"/>
    <col min="15595" max="15599" width="10.59765625" style="1" customWidth="1"/>
    <col min="15600" max="16384" width="9" style="1"/>
  </cols>
  <sheetData>
    <row r="1" spans="1:34" ht="13.8" x14ac:dyDescent="0.25">
      <c r="A1" s="671" t="s">
        <v>9</v>
      </c>
      <c r="B1" s="671"/>
      <c r="C1" s="671"/>
      <c r="D1" s="671"/>
      <c r="E1" s="671"/>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row>
    <row r="2" spans="1:34" x14ac:dyDescent="0.25">
      <c r="A2" s="32"/>
      <c r="B2" s="32"/>
      <c r="C2" s="32"/>
      <c r="D2" s="32"/>
      <c r="E2" s="32"/>
      <c r="F2" s="32"/>
      <c r="G2" s="32"/>
      <c r="H2" s="32"/>
      <c r="I2" s="32"/>
      <c r="J2" s="32"/>
      <c r="K2" s="32"/>
      <c r="L2" s="32"/>
      <c r="M2" s="32"/>
      <c r="N2" s="32"/>
      <c r="O2" s="32"/>
      <c r="P2" s="32"/>
      <c r="Q2" s="32"/>
      <c r="R2" s="32"/>
      <c r="S2" s="32"/>
      <c r="T2" s="32"/>
      <c r="U2" s="32"/>
      <c r="V2" s="1"/>
      <c r="Y2" s="32"/>
      <c r="Z2" s="32"/>
      <c r="AA2" s="32"/>
      <c r="AB2" s="32"/>
      <c r="AC2" s="32"/>
      <c r="AD2" s="32"/>
      <c r="AE2" s="32"/>
      <c r="AF2" s="32"/>
      <c r="AG2" s="32"/>
      <c r="AH2" s="32"/>
    </row>
    <row r="3" spans="1:34" ht="15" customHeight="1" x14ac:dyDescent="0.25">
      <c r="A3" s="672" t="s">
        <v>817</v>
      </c>
      <c r="B3" s="672"/>
      <c r="C3" s="672"/>
      <c r="D3" s="672"/>
      <c r="E3" s="672"/>
      <c r="F3" s="11"/>
      <c r="G3" s="11"/>
      <c r="H3" s="350"/>
      <c r="I3" s="350"/>
      <c r="J3" s="350"/>
      <c r="K3" s="350"/>
      <c r="L3" s="1"/>
      <c r="V3" s="1"/>
    </row>
    <row r="4" spans="1:34" ht="13.8" x14ac:dyDescent="0.25">
      <c r="A4" s="11"/>
      <c r="B4" s="11"/>
      <c r="C4" s="11"/>
      <c r="D4" s="11"/>
      <c r="E4" s="11"/>
      <c r="F4" s="11"/>
      <c r="G4" s="11"/>
      <c r="H4" s="350"/>
      <c r="I4" s="350"/>
      <c r="J4" s="350"/>
      <c r="K4" s="350"/>
      <c r="L4" s="1"/>
      <c r="V4" s="1"/>
    </row>
    <row r="5" spans="1:34" ht="225" customHeight="1" x14ac:dyDescent="0.25">
      <c r="A5" s="673" t="s">
        <v>818</v>
      </c>
      <c r="B5" s="673"/>
      <c r="C5" s="673"/>
      <c r="D5" s="673"/>
      <c r="E5" s="673"/>
      <c r="F5" s="348"/>
      <c r="G5" s="348"/>
      <c r="H5" s="339"/>
      <c r="I5" s="339"/>
      <c r="J5" s="339"/>
      <c r="K5" s="339"/>
      <c r="L5" s="10"/>
      <c r="M5" s="10"/>
      <c r="N5" s="10"/>
      <c r="O5" s="358"/>
      <c r="P5" s="358"/>
      <c r="Q5" s="358"/>
      <c r="R5" s="10"/>
      <c r="S5" s="10"/>
      <c r="T5" s="10"/>
      <c r="U5" s="10"/>
      <c r="V5" s="10"/>
      <c r="W5" s="10"/>
      <c r="X5" s="10"/>
      <c r="Y5" s="10"/>
      <c r="Z5" s="10"/>
      <c r="AA5" s="10"/>
      <c r="AB5" s="10"/>
      <c r="AC5" s="10"/>
      <c r="AD5" s="10"/>
      <c r="AE5" s="10"/>
      <c r="AF5" s="10"/>
    </row>
    <row r="6" spans="1:34" ht="14.4" thickBot="1" x14ac:dyDescent="0.3">
      <c r="A6" s="83"/>
      <c r="B6" s="84"/>
      <c r="C6" s="84"/>
      <c r="D6" s="84"/>
      <c r="E6" s="84"/>
      <c r="F6" s="84"/>
      <c r="G6" s="84"/>
      <c r="H6" s="84"/>
      <c r="I6" s="84"/>
      <c r="J6" s="84"/>
      <c r="K6" s="84"/>
      <c r="L6" s="83"/>
      <c r="M6" s="83"/>
      <c r="N6" s="83"/>
      <c r="O6" s="83"/>
      <c r="P6" s="83"/>
      <c r="Q6" s="83"/>
      <c r="R6" s="83"/>
      <c r="S6" s="83"/>
      <c r="T6" s="83"/>
      <c r="U6" s="83"/>
      <c r="V6" s="83"/>
      <c r="W6" s="83"/>
      <c r="X6" s="83"/>
      <c r="Y6" s="83"/>
      <c r="Z6" s="83"/>
      <c r="AA6" s="83"/>
      <c r="AB6" s="83"/>
      <c r="AC6" s="83"/>
      <c r="AG6" s="44"/>
      <c r="AH6" s="110"/>
    </row>
    <row r="7" spans="1:34" ht="15" customHeight="1" x14ac:dyDescent="0.25">
      <c r="A7" s="350"/>
      <c r="B7" s="675" t="s">
        <v>43</v>
      </c>
      <c r="C7" s="675"/>
      <c r="D7" s="675"/>
      <c r="E7" s="675"/>
      <c r="F7" s="675"/>
      <c r="G7" s="675"/>
      <c r="H7" s="675"/>
      <c r="I7" s="675"/>
      <c r="J7" s="392"/>
      <c r="K7" s="392"/>
      <c r="L7" s="676" t="s">
        <v>44</v>
      </c>
      <c r="M7" s="676"/>
      <c r="N7" s="676"/>
      <c r="O7" s="676"/>
      <c r="P7" s="676"/>
      <c r="Q7" s="676"/>
      <c r="R7" s="676"/>
      <c r="S7" s="676"/>
      <c r="T7" s="393"/>
      <c r="V7" s="676" t="s">
        <v>45</v>
      </c>
      <c r="W7" s="676"/>
      <c r="X7" s="676"/>
      <c r="Y7" s="676"/>
      <c r="Z7" s="676"/>
      <c r="AA7" s="676"/>
      <c r="AB7" s="676"/>
      <c r="AC7" s="676"/>
      <c r="AD7" s="676"/>
      <c r="AE7" s="327"/>
    </row>
    <row r="8" spans="1:34" ht="13.95" customHeight="1" thickBot="1" x14ac:dyDescent="0.3">
      <c r="A8" s="82"/>
      <c r="B8" s="87" t="s">
        <v>46</v>
      </c>
      <c r="C8" s="87" t="s">
        <v>47</v>
      </c>
      <c r="D8" s="87" t="s">
        <v>48</v>
      </c>
      <c r="E8" s="155" t="s">
        <v>49</v>
      </c>
      <c r="F8" s="87" t="s">
        <v>50</v>
      </c>
      <c r="G8" s="87" t="s">
        <v>51</v>
      </c>
      <c r="H8" s="87" t="s">
        <v>52</v>
      </c>
      <c r="I8" s="87" t="s">
        <v>53</v>
      </c>
      <c r="J8" s="87" t="s">
        <v>644</v>
      </c>
      <c r="K8" s="3"/>
      <c r="L8" s="87" t="s">
        <v>46</v>
      </c>
      <c r="M8" s="87" t="s">
        <v>47</v>
      </c>
      <c r="N8" s="87" t="s">
        <v>48</v>
      </c>
      <c r="O8" s="155" t="s">
        <v>49</v>
      </c>
      <c r="P8" s="87" t="s">
        <v>50</v>
      </c>
      <c r="Q8" s="87" t="s">
        <v>51</v>
      </c>
      <c r="R8" s="87" t="s">
        <v>52</v>
      </c>
      <c r="S8" s="87" t="s">
        <v>53</v>
      </c>
      <c r="T8" s="87" t="s">
        <v>644</v>
      </c>
      <c r="V8" s="87" t="s">
        <v>46</v>
      </c>
      <c r="W8" s="87" t="s">
        <v>47</v>
      </c>
      <c r="X8" s="87" t="s">
        <v>48</v>
      </c>
      <c r="Y8" s="155" t="s">
        <v>49</v>
      </c>
      <c r="Z8" s="87" t="s">
        <v>50</v>
      </c>
      <c r="AA8" s="87" t="s">
        <v>51</v>
      </c>
      <c r="AB8" s="87" t="s">
        <v>52</v>
      </c>
      <c r="AC8" s="87" t="s">
        <v>53</v>
      </c>
      <c r="AD8" s="87" t="s">
        <v>644</v>
      </c>
      <c r="AE8" s="327"/>
      <c r="AG8" s="364"/>
    </row>
    <row r="9" spans="1:34" x14ac:dyDescent="0.25">
      <c r="A9" s="352"/>
      <c r="B9" s="3"/>
      <c r="C9" s="3"/>
      <c r="D9" s="3"/>
      <c r="E9" s="156"/>
      <c r="L9" s="3"/>
      <c r="M9" s="3"/>
      <c r="N9" s="3"/>
      <c r="O9" s="156"/>
      <c r="V9" s="1"/>
      <c r="Y9" s="156"/>
      <c r="AE9" s="328"/>
      <c r="AG9" s="364"/>
    </row>
    <row r="10" spans="1:34" ht="26.4" x14ac:dyDescent="0.25">
      <c r="A10" s="40" t="s">
        <v>54</v>
      </c>
      <c r="B10" s="41" t="s">
        <v>55</v>
      </c>
      <c r="C10" s="41" t="s">
        <v>55</v>
      </c>
      <c r="D10" s="41" t="s">
        <v>55</v>
      </c>
      <c r="E10" s="157" t="s">
        <v>56</v>
      </c>
      <c r="F10" s="203" t="s">
        <v>56</v>
      </c>
      <c r="G10" s="203" t="s">
        <v>57</v>
      </c>
      <c r="H10" s="203" t="s">
        <v>57</v>
      </c>
      <c r="I10" s="203" t="s">
        <v>57</v>
      </c>
      <c r="J10" s="203" t="s">
        <v>57</v>
      </c>
      <c r="K10" s="203"/>
      <c r="L10" s="41" t="s">
        <v>55</v>
      </c>
      <c r="M10" s="41" t="s">
        <v>55</v>
      </c>
      <c r="N10" s="41" t="s">
        <v>55</v>
      </c>
      <c r="O10" s="157" t="s">
        <v>56</v>
      </c>
      <c r="P10" s="203" t="s">
        <v>56</v>
      </c>
      <c r="Q10" s="203" t="s">
        <v>57</v>
      </c>
      <c r="R10" s="41" t="s">
        <v>58</v>
      </c>
      <c r="S10" s="41" t="s">
        <v>58</v>
      </c>
      <c r="T10" s="41" t="s">
        <v>58</v>
      </c>
      <c r="U10" s="42"/>
      <c r="V10" s="41" t="s">
        <v>55</v>
      </c>
      <c r="W10" s="41" t="s">
        <v>55</v>
      </c>
      <c r="X10" s="41" t="s">
        <v>55</v>
      </c>
      <c r="Y10" s="172" t="s">
        <v>59</v>
      </c>
      <c r="Z10" s="204" t="s">
        <v>59</v>
      </c>
      <c r="AA10" s="204" t="s">
        <v>59</v>
      </c>
      <c r="AB10" s="41" t="s">
        <v>58</v>
      </c>
      <c r="AC10" s="41" t="s">
        <v>58</v>
      </c>
      <c r="AD10" s="41" t="s">
        <v>58</v>
      </c>
      <c r="AE10" s="329"/>
    </row>
    <row r="11" spans="1:34" ht="12" customHeight="1" x14ac:dyDescent="0.25">
      <c r="A11" s="352"/>
      <c r="B11" s="3"/>
      <c r="C11" s="3"/>
      <c r="D11" s="3"/>
      <c r="E11" s="156"/>
      <c r="H11" s="356"/>
      <c r="I11" s="356"/>
      <c r="J11" s="356"/>
      <c r="K11" s="356"/>
      <c r="L11" s="3"/>
      <c r="M11" s="3"/>
      <c r="N11" s="3"/>
      <c r="O11" s="156"/>
      <c r="R11" s="345"/>
      <c r="S11" s="345"/>
      <c r="T11" s="345"/>
      <c r="V11" s="1"/>
      <c r="Y11" s="156"/>
      <c r="AB11" s="345"/>
      <c r="AC11" s="345"/>
      <c r="AD11" s="345"/>
      <c r="AE11" s="327"/>
    </row>
    <row r="12" spans="1:34" ht="15" customHeight="1" x14ac:dyDescent="0.25">
      <c r="A12" s="4" t="s">
        <v>60</v>
      </c>
      <c r="B12" s="20">
        <v>53176</v>
      </c>
      <c r="C12" s="20">
        <v>58399</v>
      </c>
      <c r="D12" s="20">
        <v>63622</v>
      </c>
      <c r="E12" s="158">
        <v>45864</v>
      </c>
      <c r="F12" s="88">
        <v>49551</v>
      </c>
      <c r="G12" s="88">
        <v>49988</v>
      </c>
      <c r="H12" s="373">
        <v>50893</v>
      </c>
      <c r="I12" s="373">
        <v>53239</v>
      </c>
      <c r="J12" s="394" t="s">
        <v>645</v>
      </c>
      <c r="L12" s="20">
        <v>48014</v>
      </c>
      <c r="M12" s="20">
        <v>51969</v>
      </c>
      <c r="N12" s="20">
        <v>56594</v>
      </c>
      <c r="O12" s="158">
        <v>43050</v>
      </c>
      <c r="P12" s="88">
        <v>46552</v>
      </c>
      <c r="Q12" s="88">
        <v>46837</v>
      </c>
      <c r="R12" s="373">
        <v>47975</v>
      </c>
      <c r="S12" s="373">
        <v>50518</v>
      </c>
      <c r="T12" s="394" t="s">
        <v>653</v>
      </c>
      <c r="U12" s="325"/>
      <c r="V12" s="20">
        <v>5162</v>
      </c>
      <c r="W12" s="20">
        <v>6430</v>
      </c>
      <c r="X12" s="20">
        <v>7028</v>
      </c>
      <c r="Y12" s="158">
        <v>2814</v>
      </c>
      <c r="Z12" s="88">
        <v>2999</v>
      </c>
      <c r="AA12" s="88">
        <v>3151</v>
      </c>
      <c r="AB12" s="373">
        <v>2918</v>
      </c>
      <c r="AC12" s="373">
        <v>2721</v>
      </c>
      <c r="AD12" s="394" t="s">
        <v>661</v>
      </c>
      <c r="AE12" s="327"/>
    </row>
    <row r="13" spans="1:34" x14ac:dyDescent="0.25">
      <c r="A13" s="6"/>
      <c r="B13" s="20"/>
      <c r="C13" s="20"/>
      <c r="D13" s="20"/>
      <c r="E13" s="158"/>
      <c r="F13" s="88"/>
      <c r="G13" s="88"/>
      <c r="H13" s="373"/>
      <c r="I13" s="373"/>
      <c r="J13" s="395"/>
      <c r="L13" s="22"/>
      <c r="M13" s="20"/>
      <c r="N13" s="20"/>
      <c r="O13" s="158"/>
      <c r="P13" s="88"/>
      <c r="Q13" s="88"/>
      <c r="R13" s="373"/>
      <c r="S13" s="373"/>
      <c r="T13" s="395"/>
      <c r="U13" s="326"/>
      <c r="V13" s="22"/>
      <c r="W13" s="22"/>
      <c r="X13" s="22"/>
      <c r="Y13" s="158"/>
      <c r="Z13" s="88"/>
      <c r="AA13" s="88"/>
      <c r="AB13" s="373"/>
      <c r="AC13" s="373"/>
      <c r="AD13" s="395"/>
      <c r="AE13" s="327"/>
    </row>
    <row r="14" spans="1:34" ht="15" customHeight="1" x14ac:dyDescent="0.25">
      <c r="A14" s="7" t="s">
        <v>61</v>
      </c>
      <c r="B14" s="20">
        <v>34806</v>
      </c>
      <c r="C14" s="20">
        <v>37709</v>
      </c>
      <c r="D14" s="20">
        <v>40785</v>
      </c>
      <c r="E14" s="158">
        <v>25474</v>
      </c>
      <c r="F14" s="88">
        <v>27971</v>
      </c>
      <c r="G14" s="88">
        <v>30478</v>
      </c>
      <c r="H14" s="373">
        <v>32320</v>
      </c>
      <c r="I14" s="373">
        <v>35275</v>
      </c>
      <c r="J14" s="394" t="s">
        <v>646</v>
      </c>
      <c r="L14" s="20">
        <v>30574</v>
      </c>
      <c r="M14" s="20">
        <v>32524</v>
      </c>
      <c r="N14" s="20">
        <v>35403</v>
      </c>
      <c r="O14" s="158">
        <v>24416</v>
      </c>
      <c r="P14" s="88">
        <v>26824</v>
      </c>
      <c r="Q14" s="88">
        <v>29230</v>
      </c>
      <c r="R14" s="373">
        <v>31280</v>
      </c>
      <c r="S14" s="373">
        <v>34265</v>
      </c>
      <c r="T14" s="394" t="s">
        <v>654</v>
      </c>
      <c r="U14" s="326"/>
      <c r="V14" s="20">
        <v>4232</v>
      </c>
      <c r="W14" s="20">
        <v>5185</v>
      </c>
      <c r="X14" s="20">
        <v>5382</v>
      </c>
      <c r="Y14" s="158">
        <v>1058</v>
      </c>
      <c r="Z14" s="88">
        <v>1147</v>
      </c>
      <c r="AA14" s="88">
        <v>1248</v>
      </c>
      <c r="AB14" s="373">
        <v>1040</v>
      </c>
      <c r="AC14" s="373">
        <v>1010</v>
      </c>
      <c r="AD14" s="394" t="s">
        <v>662</v>
      </c>
      <c r="AE14" s="327"/>
    </row>
    <row r="15" spans="1:34" x14ac:dyDescent="0.25">
      <c r="A15" s="6"/>
      <c r="B15" s="20"/>
      <c r="C15" s="20"/>
      <c r="D15" s="20"/>
      <c r="E15" s="382"/>
      <c r="F15" s="383"/>
      <c r="G15" s="383"/>
      <c r="H15" s="373"/>
      <c r="I15" s="373"/>
      <c r="J15" s="395"/>
      <c r="L15" s="22"/>
      <c r="M15" s="20"/>
      <c r="N15" s="20"/>
      <c r="O15" s="382"/>
      <c r="P15" s="383"/>
      <c r="Q15" s="383"/>
      <c r="R15" s="373"/>
      <c r="S15" s="373"/>
      <c r="T15" s="395"/>
      <c r="U15" s="326"/>
      <c r="V15" s="22"/>
      <c r="W15" s="22"/>
      <c r="X15" s="22"/>
      <c r="Y15" s="382"/>
      <c r="Z15" s="383"/>
      <c r="AA15" s="383"/>
      <c r="AB15" s="373"/>
      <c r="AC15" s="373"/>
      <c r="AD15" s="395"/>
      <c r="AE15" s="327"/>
    </row>
    <row r="16" spans="1:34" ht="15" customHeight="1" x14ac:dyDescent="0.25">
      <c r="A16" s="29" t="s">
        <v>62</v>
      </c>
      <c r="B16" s="20">
        <v>32781</v>
      </c>
      <c r="C16" s="20">
        <v>35444</v>
      </c>
      <c r="D16" s="20">
        <v>38873</v>
      </c>
      <c r="E16" s="158">
        <v>25224</v>
      </c>
      <c r="F16" s="88">
        <v>27690</v>
      </c>
      <c r="G16" s="88">
        <v>30114</v>
      </c>
      <c r="H16" s="373">
        <v>32011</v>
      </c>
      <c r="I16" s="373">
        <v>34863</v>
      </c>
      <c r="J16" s="394" t="s">
        <v>647</v>
      </c>
      <c r="L16" s="20">
        <v>29116</v>
      </c>
      <c r="M16" s="20">
        <v>30883</v>
      </c>
      <c r="N16" s="20">
        <v>33912</v>
      </c>
      <c r="O16" s="158">
        <v>24216</v>
      </c>
      <c r="P16" s="88">
        <v>26590</v>
      </c>
      <c r="Q16" s="88">
        <v>28916</v>
      </c>
      <c r="R16" s="373">
        <v>31012</v>
      </c>
      <c r="S16" s="373">
        <v>33886</v>
      </c>
      <c r="T16" s="394" t="s">
        <v>655</v>
      </c>
      <c r="U16" s="326"/>
      <c r="V16" s="20">
        <v>3665</v>
      </c>
      <c r="W16" s="20">
        <v>4561</v>
      </c>
      <c r="X16" s="20">
        <v>4961</v>
      </c>
      <c r="Y16" s="158">
        <v>1008</v>
      </c>
      <c r="Z16" s="88">
        <v>1100</v>
      </c>
      <c r="AA16" s="88">
        <v>1198</v>
      </c>
      <c r="AB16" s="373">
        <v>999</v>
      </c>
      <c r="AC16" s="373">
        <v>977</v>
      </c>
      <c r="AD16" s="394" t="s">
        <v>663</v>
      </c>
      <c r="AE16" s="327"/>
    </row>
    <row r="17" spans="1:31" ht="15" customHeight="1" x14ac:dyDescent="0.25">
      <c r="A17" s="30" t="s">
        <v>63</v>
      </c>
      <c r="B17" s="22">
        <v>25300</v>
      </c>
      <c r="C17" s="22">
        <v>27754</v>
      </c>
      <c r="D17" s="22">
        <v>30627</v>
      </c>
      <c r="E17" s="159">
        <v>21621</v>
      </c>
      <c r="F17" s="22">
        <v>23864</v>
      </c>
      <c r="G17" s="22">
        <v>25963</v>
      </c>
      <c r="H17" s="343">
        <v>27968</v>
      </c>
      <c r="I17" s="343">
        <v>30407</v>
      </c>
      <c r="J17" s="396"/>
      <c r="L17" s="22">
        <v>23326</v>
      </c>
      <c r="M17" s="22">
        <v>25293</v>
      </c>
      <c r="N17" s="22">
        <v>27705</v>
      </c>
      <c r="O17" s="159">
        <v>20823</v>
      </c>
      <c r="P17" s="22">
        <v>22994</v>
      </c>
      <c r="Q17" s="22">
        <v>25021</v>
      </c>
      <c r="R17" s="343">
        <v>27093</v>
      </c>
      <c r="S17" s="343">
        <v>29570</v>
      </c>
      <c r="T17" s="396"/>
      <c r="U17" s="326"/>
      <c r="V17" s="22">
        <v>1974</v>
      </c>
      <c r="W17" s="22">
        <v>2461</v>
      </c>
      <c r="X17" s="22">
        <v>2922</v>
      </c>
      <c r="Y17" s="159">
        <v>798</v>
      </c>
      <c r="Z17" s="22">
        <v>870</v>
      </c>
      <c r="AA17" s="22">
        <v>942</v>
      </c>
      <c r="AB17" s="343">
        <v>875</v>
      </c>
      <c r="AC17" s="343">
        <v>837</v>
      </c>
      <c r="AD17" s="396"/>
      <c r="AE17" s="327"/>
    </row>
    <row r="18" spans="1:31" ht="15" customHeight="1" x14ac:dyDescent="0.25">
      <c r="A18" s="30" t="s">
        <v>64</v>
      </c>
      <c r="B18" s="22">
        <v>7481</v>
      </c>
      <c r="C18" s="22">
        <v>7690</v>
      </c>
      <c r="D18" s="22">
        <v>8246</v>
      </c>
      <c r="E18" s="159">
        <v>3603</v>
      </c>
      <c r="F18" s="22">
        <v>3826</v>
      </c>
      <c r="G18" s="22">
        <v>4151</v>
      </c>
      <c r="H18" s="343">
        <v>4043</v>
      </c>
      <c r="I18" s="343">
        <v>4456</v>
      </c>
      <c r="J18" s="396"/>
      <c r="L18" s="22">
        <v>5790</v>
      </c>
      <c r="M18" s="22">
        <v>5590</v>
      </c>
      <c r="N18" s="22">
        <v>6207</v>
      </c>
      <c r="O18" s="159">
        <v>3393</v>
      </c>
      <c r="P18" s="22">
        <v>3596</v>
      </c>
      <c r="Q18" s="22">
        <v>3895</v>
      </c>
      <c r="R18" s="343">
        <v>3919</v>
      </c>
      <c r="S18" s="343">
        <v>4316</v>
      </c>
      <c r="T18" s="396"/>
      <c r="U18" s="326"/>
      <c r="V18" s="22">
        <v>1691</v>
      </c>
      <c r="W18" s="22">
        <v>2100</v>
      </c>
      <c r="X18" s="22">
        <v>2039</v>
      </c>
      <c r="Y18" s="159">
        <v>210</v>
      </c>
      <c r="Z18" s="22">
        <v>230</v>
      </c>
      <c r="AA18" s="22">
        <v>256</v>
      </c>
      <c r="AB18" s="343">
        <v>124</v>
      </c>
      <c r="AC18" s="343">
        <v>140</v>
      </c>
      <c r="AD18" s="396"/>
      <c r="AE18" s="327"/>
    </row>
    <row r="19" spans="1:31" x14ac:dyDescent="0.25">
      <c r="A19" s="28"/>
      <c r="B19" s="22"/>
      <c r="C19" s="22"/>
      <c r="D19" s="22"/>
      <c r="E19" s="160"/>
      <c r="F19" s="89"/>
      <c r="G19" s="89"/>
      <c r="H19" s="373"/>
      <c r="I19" s="373"/>
      <c r="J19" s="395"/>
      <c r="L19" s="22"/>
      <c r="M19" s="22"/>
      <c r="N19" s="22"/>
      <c r="O19" s="160"/>
      <c r="P19" s="89"/>
      <c r="Q19" s="89"/>
      <c r="R19" s="373"/>
      <c r="S19" s="373"/>
      <c r="T19" s="395"/>
      <c r="U19" s="326"/>
      <c r="V19" s="22"/>
      <c r="W19" s="22"/>
      <c r="X19" s="22"/>
      <c r="Y19" s="160"/>
      <c r="Z19" s="89"/>
      <c r="AA19" s="89"/>
      <c r="AB19" s="373"/>
      <c r="AC19" s="373"/>
      <c r="AD19" s="395"/>
      <c r="AE19" s="327"/>
    </row>
    <row r="20" spans="1:31" ht="15" customHeight="1" x14ac:dyDescent="0.25">
      <c r="A20" s="29" t="s">
        <v>65</v>
      </c>
      <c r="B20" s="20">
        <v>1847</v>
      </c>
      <c r="C20" s="20">
        <v>1930</v>
      </c>
      <c r="D20" s="20">
        <v>1696</v>
      </c>
      <c r="E20" s="161">
        <v>158</v>
      </c>
      <c r="F20" s="90">
        <v>203</v>
      </c>
      <c r="G20" s="90">
        <v>236</v>
      </c>
      <c r="H20" s="373">
        <v>221</v>
      </c>
      <c r="I20" s="373">
        <v>222</v>
      </c>
      <c r="J20" s="394" t="s">
        <v>648</v>
      </c>
      <c r="L20" s="359">
        <v>1317</v>
      </c>
      <c r="M20" s="359">
        <v>1332</v>
      </c>
      <c r="N20" s="359">
        <v>1317</v>
      </c>
      <c r="O20" s="161">
        <v>110</v>
      </c>
      <c r="P20" s="342">
        <v>157</v>
      </c>
      <c r="Q20" s="342">
        <v>189</v>
      </c>
      <c r="R20" s="373">
        <v>181</v>
      </c>
      <c r="S20" s="373">
        <v>191</v>
      </c>
      <c r="T20" s="394" t="s">
        <v>656</v>
      </c>
      <c r="U20" s="361"/>
      <c r="V20" s="20">
        <v>530</v>
      </c>
      <c r="W20" s="20">
        <v>598</v>
      </c>
      <c r="X20" s="20">
        <v>379</v>
      </c>
      <c r="Y20" s="161">
        <v>48</v>
      </c>
      <c r="Z20" s="90">
        <v>46</v>
      </c>
      <c r="AA20" s="90">
        <v>47</v>
      </c>
      <c r="AB20" s="373">
        <v>40</v>
      </c>
      <c r="AC20" s="373">
        <v>31</v>
      </c>
      <c r="AD20" s="394" t="s">
        <v>664</v>
      </c>
      <c r="AE20" s="327"/>
    </row>
    <row r="21" spans="1:31" ht="15" customHeight="1" x14ac:dyDescent="0.25">
      <c r="A21" s="30" t="s">
        <v>66</v>
      </c>
      <c r="B21" s="22">
        <v>77</v>
      </c>
      <c r="C21" s="22">
        <v>75</v>
      </c>
      <c r="D21" s="22">
        <v>40</v>
      </c>
      <c r="E21" s="159">
        <v>8</v>
      </c>
      <c r="F21" s="22">
        <v>8</v>
      </c>
      <c r="G21" s="22">
        <v>2</v>
      </c>
      <c r="H21" s="343">
        <v>3</v>
      </c>
      <c r="I21" s="343">
        <v>4</v>
      </c>
      <c r="J21" s="396"/>
      <c r="L21" s="340">
        <v>72</v>
      </c>
      <c r="M21" s="340">
        <v>67</v>
      </c>
      <c r="N21" s="340">
        <v>35</v>
      </c>
      <c r="O21" s="159">
        <v>7</v>
      </c>
      <c r="P21" s="22">
        <v>7</v>
      </c>
      <c r="Q21" s="22">
        <v>2</v>
      </c>
      <c r="R21" s="343">
        <v>3</v>
      </c>
      <c r="S21" s="343">
        <v>4</v>
      </c>
      <c r="T21" s="396"/>
      <c r="U21" s="326"/>
      <c r="V21" s="22">
        <v>5</v>
      </c>
      <c r="W21" s="22">
        <v>8</v>
      </c>
      <c r="X21" s="22">
        <v>5</v>
      </c>
      <c r="Y21" s="159">
        <v>1</v>
      </c>
      <c r="Z21" s="22">
        <v>1</v>
      </c>
      <c r="AA21" s="22">
        <v>0</v>
      </c>
      <c r="AB21" s="22">
        <v>0</v>
      </c>
      <c r="AC21" s="22">
        <v>0</v>
      </c>
      <c r="AD21" s="396"/>
      <c r="AE21" s="327"/>
    </row>
    <row r="22" spans="1:31" ht="15" customHeight="1" x14ac:dyDescent="0.25">
      <c r="A22" s="30" t="s">
        <v>67</v>
      </c>
      <c r="B22" s="22">
        <v>22</v>
      </c>
      <c r="C22" s="22">
        <v>15</v>
      </c>
      <c r="D22" s="22">
        <v>17</v>
      </c>
      <c r="E22" s="159">
        <v>0</v>
      </c>
      <c r="F22" s="91">
        <v>1</v>
      </c>
      <c r="G22" s="91">
        <v>3</v>
      </c>
      <c r="H22" s="343">
        <v>5</v>
      </c>
      <c r="I22" s="343">
        <v>7</v>
      </c>
      <c r="J22" s="396"/>
      <c r="L22" s="340">
        <v>18</v>
      </c>
      <c r="M22" s="340">
        <v>12</v>
      </c>
      <c r="N22" s="340">
        <v>15</v>
      </c>
      <c r="O22" s="159">
        <v>0</v>
      </c>
      <c r="P22" s="22">
        <v>0</v>
      </c>
      <c r="Q22" s="22">
        <v>3</v>
      </c>
      <c r="R22" s="343">
        <v>5</v>
      </c>
      <c r="S22" s="343">
        <v>7</v>
      </c>
      <c r="T22" s="396"/>
      <c r="U22" s="326"/>
      <c r="V22" s="22">
        <v>4</v>
      </c>
      <c r="W22" s="22">
        <v>3</v>
      </c>
      <c r="X22" s="22">
        <v>2</v>
      </c>
      <c r="Y22" s="159">
        <v>0</v>
      </c>
      <c r="Z22" s="22">
        <v>1</v>
      </c>
      <c r="AA22" s="22">
        <v>0</v>
      </c>
      <c r="AB22" s="22">
        <v>0</v>
      </c>
      <c r="AC22" s="22">
        <v>0</v>
      </c>
      <c r="AD22" s="396"/>
      <c r="AE22" s="327"/>
    </row>
    <row r="23" spans="1:31" ht="15" customHeight="1" x14ac:dyDescent="0.25">
      <c r="A23" s="30" t="s">
        <v>68</v>
      </c>
      <c r="B23" s="22">
        <v>448</v>
      </c>
      <c r="C23" s="22">
        <v>486</v>
      </c>
      <c r="D23" s="22">
        <v>415</v>
      </c>
      <c r="E23" s="159">
        <v>26</v>
      </c>
      <c r="F23" s="22">
        <v>31</v>
      </c>
      <c r="G23" s="22">
        <v>46</v>
      </c>
      <c r="H23" s="343">
        <v>42</v>
      </c>
      <c r="I23" s="343">
        <v>25</v>
      </c>
      <c r="J23" s="396"/>
      <c r="L23" s="340">
        <v>255</v>
      </c>
      <c r="M23" s="340">
        <v>278</v>
      </c>
      <c r="N23" s="340">
        <v>264</v>
      </c>
      <c r="O23" s="159">
        <v>12</v>
      </c>
      <c r="P23" s="22">
        <v>10</v>
      </c>
      <c r="Q23" s="22">
        <v>26</v>
      </c>
      <c r="R23" s="343">
        <v>30</v>
      </c>
      <c r="S23" s="343">
        <v>18</v>
      </c>
      <c r="T23" s="396"/>
      <c r="U23" s="326"/>
      <c r="V23" s="22">
        <v>193</v>
      </c>
      <c r="W23" s="22">
        <v>208</v>
      </c>
      <c r="X23" s="22">
        <v>151</v>
      </c>
      <c r="Y23" s="159">
        <v>14</v>
      </c>
      <c r="Z23" s="22">
        <v>21</v>
      </c>
      <c r="AA23" s="22">
        <v>20</v>
      </c>
      <c r="AB23" s="343">
        <v>12</v>
      </c>
      <c r="AC23" s="343">
        <v>7</v>
      </c>
      <c r="AD23" s="396"/>
      <c r="AE23" s="327"/>
    </row>
    <row r="24" spans="1:31" ht="15" customHeight="1" x14ac:dyDescent="0.25">
      <c r="A24" s="30" t="s">
        <v>69</v>
      </c>
      <c r="B24" s="22">
        <v>315</v>
      </c>
      <c r="C24" s="22">
        <v>307</v>
      </c>
      <c r="D24" s="22">
        <v>223</v>
      </c>
      <c r="E24" s="159">
        <v>21</v>
      </c>
      <c r="F24" s="22">
        <v>17</v>
      </c>
      <c r="G24" s="22">
        <v>20</v>
      </c>
      <c r="H24" s="343">
        <v>20</v>
      </c>
      <c r="I24" s="343">
        <v>25</v>
      </c>
      <c r="J24" s="396"/>
      <c r="L24" s="340">
        <v>197</v>
      </c>
      <c r="M24" s="340">
        <v>151</v>
      </c>
      <c r="N24" s="340">
        <v>143</v>
      </c>
      <c r="O24" s="159">
        <v>11</v>
      </c>
      <c r="P24" s="22">
        <v>10</v>
      </c>
      <c r="Q24" s="22">
        <v>12</v>
      </c>
      <c r="R24" s="343">
        <v>15</v>
      </c>
      <c r="S24" s="343">
        <v>20</v>
      </c>
      <c r="T24" s="396"/>
      <c r="U24" s="326"/>
      <c r="V24" s="22">
        <v>118</v>
      </c>
      <c r="W24" s="22">
        <v>156</v>
      </c>
      <c r="X24" s="22">
        <v>80</v>
      </c>
      <c r="Y24" s="159">
        <v>10</v>
      </c>
      <c r="Z24" s="22">
        <v>7</v>
      </c>
      <c r="AA24" s="22">
        <v>8</v>
      </c>
      <c r="AB24" s="343">
        <v>5</v>
      </c>
      <c r="AC24" s="343">
        <v>5</v>
      </c>
      <c r="AD24" s="396"/>
      <c r="AE24" s="327"/>
    </row>
    <row r="25" spans="1:31" ht="15" customHeight="1" x14ac:dyDescent="0.25">
      <c r="A25" s="30" t="s">
        <v>70</v>
      </c>
      <c r="B25" s="22">
        <v>2</v>
      </c>
      <c r="C25" s="22">
        <v>9</v>
      </c>
      <c r="D25" s="22">
        <v>7</v>
      </c>
      <c r="E25" s="159">
        <v>0</v>
      </c>
      <c r="F25" s="22">
        <v>0</v>
      </c>
      <c r="G25" s="22">
        <v>0</v>
      </c>
      <c r="H25" s="343">
        <v>4</v>
      </c>
      <c r="I25" s="343">
        <v>6</v>
      </c>
      <c r="J25" s="396"/>
      <c r="L25" s="340">
        <v>1</v>
      </c>
      <c r="M25" s="340">
        <v>6</v>
      </c>
      <c r="N25" s="340">
        <v>6</v>
      </c>
      <c r="O25" s="159">
        <v>0</v>
      </c>
      <c r="P25" s="22">
        <v>0</v>
      </c>
      <c r="Q25" s="22">
        <v>0</v>
      </c>
      <c r="R25" s="343">
        <v>4</v>
      </c>
      <c r="S25" s="343">
        <v>6</v>
      </c>
      <c r="T25" s="396"/>
      <c r="U25" s="326"/>
      <c r="V25" s="22">
        <v>1</v>
      </c>
      <c r="W25" s="22">
        <v>3</v>
      </c>
      <c r="X25" s="22">
        <v>1</v>
      </c>
      <c r="Y25" s="159">
        <v>0</v>
      </c>
      <c r="Z25" s="22">
        <v>0</v>
      </c>
      <c r="AA25" s="22">
        <v>0</v>
      </c>
      <c r="AB25" s="22">
        <v>0</v>
      </c>
      <c r="AC25" s="22">
        <v>0</v>
      </c>
      <c r="AD25" s="396"/>
      <c r="AE25" s="327"/>
    </row>
    <row r="26" spans="1:31" ht="15" customHeight="1" x14ac:dyDescent="0.25">
      <c r="A26" s="30" t="s">
        <v>71</v>
      </c>
      <c r="B26" s="22">
        <v>414</v>
      </c>
      <c r="C26" s="22">
        <v>429</v>
      </c>
      <c r="D26" s="22">
        <v>385</v>
      </c>
      <c r="E26" s="159">
        <v>41</v>
      </c>
      <c r="F26" s="22">
        <v>67</v>
      </c>
      <c r="G26" s="22">
        <v>49</v>
      </c>
      <c r="H26" s="343">
        <v>49</v>
      </c>
      <c r="I26" s="343">
        <v>59</v>
      </c>
      <c r="J26" s="396"/>
      <c r="L26" s="340">
        <v>317</v>
      </c>
      <c r="M26" s="340">
        <v>324</v>
      </c>
      <c r="N26" s="340">
        <v>321</v>
      </c>
      <c r="O26" s="159">
        <v>37</v>
      </c>
      <c r="P26" s="22">
        <v>63</v>
      </c>
      <c r="Q26" s="22">
        <v>43</v>
      </c>
      <c r="R26" s="343">
        <v>43</v>
      </c>
      <c r="S26" s="343">
        <v>51</v>
      </c>
      <c r="T26" s="396"/>
      <c r="U26" s="326"/>
      <c r="V26" s="22">
        <v>97</v>
      </c>
      <c r="W26" s="22">
        <v>105</v>
      </c>
      <c r="X26" s="22">
        <v>64</v>
      </c>
      <c r="Y26" s="159">
        <v>4</v>
      </c>
      <c r="Z26" s="22">
        <v>4</v>
      </c>
      <c r="AA26" s="22">
        <v>6</v>
      </c>
      <c r="AB26" s="343">
        <v>6</v>
      </c>
      <c r="AC26" s="343">
        <v>8</v>
      </c>
      <c r="AD26" s="396"/>
      <c r="AE26" s="327"/>
    </row>
    <row r="27" spans="1:31" ht="15" customHeight="1" x14ac:dyDescent="0.25">
      <c r="A27" s="30" t="s">
        <v>72</v>
      </c>
      <c r="B27" s="22">
        <v>43</v>
      </c>
      <c r="C27" s="22">
        <v>60</v>
      </c>
      <c r="D27" s="22">
        <v>32</v>
      </c>
      <c r="E27" s="159">
        <v>2</v>
      </c>
      <c r="F27" s="22">
        <v>3</v>
      </c>
      <c r="G27" s="22">
        <v>4</v>
      </c>
      <c r="H27" s="343">
        <v>8</v>
      </c>
      <c r="I27" s="343">
        <v>5</v>
      </c>
      <c r="J27" s="396"/>
      <c r="L27" s="340">
        <v>31</v>
      </c>
      <c r="M27" s="340">
        <v>38</v>
      </c>
      <c r="N27" s="340">
        <v>22</v>
      </c>
      <c r="O27" s="159">
        <v>1</v>
      </c>
      <c r="P27" s="22">
        <v>2</v>
      </c>
      <c r="Q27" s="22">
        <v>2</v>
      </c>
      <c r="R27" s="343">
        <v>5</v>
      </c>
      <c r="S27" s="343">
        <v>4</v>
      </c>
      <c r="T27" s="396"/>
      <c r="U27" s="326"/>
      <c r="V27" s="22">
        <v>12</v>
      </c>
      <c r="W27" s="22">
        <v>22</v>
      </c>
      <c r="X27" s="22">
        <v>10</v>
      </c>
      <c r="Y27" s="159">
        <v>1</v>
      </c>
      <c r="Z27" s="22">
        <v>1</v>
      </c>
      <c r="AA27" s="22">
        <v>2</v>
      </c>
      <c r="AB27" s="343">
        <v>3</v>
      </c>
      <c r="AC27" s="343">
        <v>1</v>
      </c>
      <c r="AD27" s="396"/>
      <c r="AE27" s="327"/>
    </row>
    <row r="28" spans="1:31" ht="15" customHeight="1" x14ac:dyDescent="0.25">
      <c r="A28" s="30" t="s">
        <v>73</v>
      </c>
      <c r="B28" s="22">
        <v>394</v>
      </c>
      <c r="C28" s="22">
        <v>440</v>
      </c>
      <c r="D28" s="22">
        <v>465</v>
      </c>
      <c r="E28" s="159">
        <v>46</v>
      </c>
      <c r="F28" s="22">
        <v>59</v>
      </c>
      <c r="G28" s="22">
        <v>69</v>
      </c>
      <c r="H28" s="343">
        <v>57</v>
      </c>
      <c r="I28" s="343">
        <v>67</v>
      </c>
      <c r="J28" s="396"/>
      <c r="L28" s="340">
        <v>322</v>
      </c>
      <c r="M28" s="340">
        <v>374</v>
      </c>
      <c r="N28" s="340">
        <v>420</v>
      </c>
      <c r="O28" s="159">
        <v>36</v>
      </c>
      <c r="P28" s="22">
        <v>52</v>
      </c>
      <c r="Q28" s="22">
        <v>62</v>
      </c>
      <c r="R28" s="343">
        <v>49</v>
      </c>
      <c r="S28" s="343">
        <v>59</v>
      </c>
      <c r="T28" s="396"/>
      <c r="U28" s="326"/>
      <c r="V28" s="22">
        <v>72</v>
      </c>
      <c r="W28" s="22">
        <v>66</v>
      </c>
      <c r="X28" s="22">
        <v>45</v>
      </c>
      <c r="Y28" s="159">
        <v>10</v>
      </c>
      <c r="Z28" s="22">
        <v>7</v>
      </c>
      <c r="AA28" s="22">
        <v>7</v>
      </c>
      <c r="AB28" s="343">
        <v>8</v>
      </c>
      <c r="AC28" s="343">
        <v>8</v>
      </c>
      <c r="AD28" s="396"/>
      <c r="AE28" s="327"/>
    </row>
    <row r="29" spans="1:31" ht="15" customHeight="1" x14ac:dyDescent="0.25">
      <c r="A29" s="30" t="s">
        <v>74</v>
      </c>
      <c r="B29" s="22">
        <v>11</v>
      </c>
      <c r="C29" s="22">
        <v>3</v>
      </c>
      <c r="D29" s="22">
        <v>5</v>
      </c>
      <c r="E29" s="159">
        <v>6</v>
      </c>
      <c r="F29" s="22">
        <v>2</v>
      </c>
      <c r="G29" s="22">
        <v>1</v>
      </c>
      <c r="H29" s="343">
        <v>0</v>
      </c>
      <c r="I29" s="343">
        <v>1</v>
      </c>
      <c r="J29" s="396"/>
      <c r="L29" s="340">
        <v>11</v>
      </c>
      <c r="M29" s="340">
        <v>3</v>
      </c>
      <c r="N29" s="340">
        <v>5</v>
      </c>
      <c r="O29" s="159">
        <v>1</v>
      </c>
      <c r="P29" s="22">
        <v>0</v>
      </c>
      <c r="Q29" s="22">
        <v>1</v>
      </c>
      <c r="R29" s="343">
        <v>0</v>
      </c>
      <c r="S29" s="343">
        <v>1</v>
      </c>
      <c r="T29" s="396"/>
      <c r="U29" s="326"/>
      <c r="V29" s="22">
        <v>0</v>
      </c>
      <c r="W29" s="22">
        <v>0</v>
      </c>
      <c r="X29" s="22" t="s">
        <v>75</v>
      </c>
      <c r="Y29" s="159">
        <v>5</v>
      </c>
      <c r="Z29" s="22">
        <v>2</v>
      </c>
      <c r="AA29" s="22">
        <v>0</v>
      </c>
      <c r="AB29" s="22">
        <v>0</v>
      </c>
      <c r="AC29" s="22">
        <v>0</v>
      </c>
      <c r="AD29" s="396"/>
      <c r="AE29" s="327"/>
    </row>
    <row r="30" spans="1:31" ht="15" customHeight="1" x14ac:dyDescent="0.25">
      <c r="A30" s="30" t="s">
        <v>76</v>
      </c>
      <c r="B30" s="22">
        <v>121</v>
      </c>
      <c r="C30" s="22">
        <v>106</v>
      </c>
      <c r="D30" s="22">
        <v>107</v>
      </c>
      <c r="E30" s="159">
        <v>8</v>
      </c>
      <c r="F30" s="22">
        <v>15</v>
      </c>
      <c r="G30" s="22">
        <v>42</v>
      </c>
      <c r="H30" s="343">
        <v>33</v>
      </c>
      <c r="I30" s="343">
        <v>23</v>
      </c>
      <c r="J30" s="396"/>
      <c r="L30" s="340">
        <v>93</v>
      </c>
      <c r="M30" s="340">
        <v>79</v>
      </c>
      <c r="N30" s="340">
        <v>86</v>
      </c>
      <c r="O30" s="159">
        <v>5</v>
      </c>
      <c r="P30" s="22">
        <v>13</v>
      </c>
      <c r="Q30" s="22">
        <v>38</v>
      </c>
      <c r="R30" s="343">
        <v>27</v>
      </c>
      <c r="S30" s="343">
        <v>21</v>
      </c>
      <c r="T30" s="396"/>
      <c r="U30" s="326"/>
      <c r="V30" s="22">
        <v>28</v>
      </c>
      <c r="W30" s="22">
        <v>27</v>
      </c>
      <c r="X30" s="22">
        <v>21</v>
      </c>
      <c r="Y30" s="159">
        <v>3</v>
      </c>
      <c r="Z30" s="22">
        <v>2</v>
      </c>
      <c r="AA30" s="22">
        <v>4</v>
      </c>
      <c r="AB30" s="343">
        <v>6</v>
      </c>
      <c r="AC30" s="343">
        <v>2</v>
      </c>
      <c r="AD30" s="396"/>
      <c r="AE30" s="327"/>
    </row>
    <row r="31" spans="1:31" x14ac:dyDescent="0.25">
      <c r="A31" s="28"/>
      <c r="B31" s="22"/>
      <c r="C31" s="22"/>
      <c r="D31" s="22"/>
      <c r="E31" s="159"/>
      <c r="F31" s="22"/>
      <c r="G31" s="22"/>
      <c r="H31" s="340"/>
      <c r="I31" s="340"/>
      <c r="J31" s="397"/>
      <c r="L31" s="340"/>
      <c r="M31" s="340"/>
      <c r="N31" s="340"/>
      <c r="O31" s="159"/>
      <c r="P31" s="340"/>
      <c r="Q31" s="340"/>
      <c r="R31" s="340"/>
      <c r="S31" s="340"/>
      <c r="T31" s="397"/>
      <c r="U31" s="326"/>
      <c r="V31" s="22"/>
      <c r="W31" s="22"/>
      <c r="X31" s="22"/>
      <c r="Y31" s="159"/>
      <c r="Z31" s="22"/>
      <c r="AA31" s="22"/>
      <c r="AB31" s="340"/>
      <c r="AC31" s="340"/>
      <c r="AD31" s="397"/>
      <c r="AE31" s="327"/>
    </row>
    <row r="32" spans="1:31" ht="15" customHeight="1" x14ac:dyDescent="0.25">
      <c r="A32" s="29" t="s">
        <v>77</v>
      </c>
      <c r="B32" s="20">
        <v>178</v>
      </c>
      <c r="C32" s="20">
        <v>335</v>
      </c>
      <c r="D32" s="20">
        <v>216</v>
      </c>
      <c r="E32" s="161">
        <v>17</v>
      </c>
      <c r="F32" s="20">
        <v>10</v>
      </c>
      <c r="G32" s="20">
        <v>100</v>
      </c>
      <c r="H32" s="373">
        <v>88</v>
      </c>
      <c r="I32" s="373">
        <v>190</v>
      </c>
      <c r="J32" s="395" t="s">
        <v>649</v>
      </c>
      <c r="L32" s="359">
        <v>141</v>
      </c>
      <c r="M32" s="359">
        <v>309</v>
      </c>
      <c r="N32" s="359">
        <v>174</v>
      </c>
      <c r="O32" s="161">
        <v>15</v>
      </c>
      <c r="P32" s="359">
        <v>9</v>
      </c>
      <c r="Q32" s="359">
        <v>97</v>
      </c>
      <c r="R32" s="373">
        <v>87</v>
      </c>
      <c r="S32" s="373">
        <v>188</v>
      </c>
      <c r="T32" s="395" t="s">
        <v>657</v>
      </c>
      <c r="U32" s="326"/>
      <c r="V32" s="20">
        <v>37</v>
      </c>
      <c r="W32" s="20">
        <v>26</v>
      </c>
      <c r="X32" s="20">
        <v>42</v>
      </c>
      <c r="Y32" s="161">
        <v>2</v>
      </c>
      <c r="Z32" s="20">
        <v>1</v>
      </c>
      <c r="AA32" s="20">
        <v>3</v>
      </c>
      <c r="AB32" s="373">
        <v>1</v>
      </c>
      <c r="AC32" s="373">
        <v>2</v>
      </c>
      <c r="AD32" s="395" t="s">
        <v>665</v>
      </c>
      <c r="AE32" s="327"/>
    </row>
    <row r="33" spans="1:31" x14ac:dyDescent="0.25">
      <c r="B33" s="174"/>
      <c r="C33" s="174"/>
      <c r="D33" s="174"/>
      <c r="E33" s="159"/>
      <c r="F33" s="89"/>
      <c r="G33" s="89"/>
      <c r="H33" s="341"/>
      <c r="I33" s="341"/>
      <c r="J33" s="398"/>
      <c r="L33" s="174"/>
      <c r="M33" s="174"/>
      <c r="N33" s="174"/>
      <c r="O33" s="159"/>
      <c r="P33" s="89"/>
      <c r="Q33" s="89"/>
      <c r="R33" s="341"/>
      <c r="S33" s="341"/>
      <c r="T33" s="398"/>
      <c r="U33" s="326"/>
      <c r="V33" s="174"/>
      <c r="W33" s="174"/>
      <c r="X33" s="174"/>
      <c r="Y33" s="159"/>
      <c r="Z33" s="89"/>
      <c r="AA33" s="89"/>
      <c r="AB33" s="341"/>
      <c r="AC33" s="341"/>
      <c r="AD33" s="398"/>
      <c r="AE33" s="327"/>
    </row>
    <row r="34" spans="1:31" ht="15" customHeight="1" x14ac:dyDescent="0.25">
      <c r="A34" s="4" t="s">
        <v>78</v>
      </c>
      <c r="B34" s="20">
        <v>14087</v>
      </c>
      <c r="C34" s="20">
        <v>16078</v>
      </c>
      <c r="D34" s="20">
        <v>17181</v>
      </c>
      <c r="E34" s="161">
        <v>17565</v>
      </c>
      <c r="F34" s="90">
        <v>18349</v>
      </c>
      <c r="G34" s="90">
        <v>15834</v>
      </c>
      <c r="H34" s="373">
        <v>14576</v>
      </c>
      <c r="I34" s="373">
        <v>13619</v>
      </c>
      <c r="J34" s="395" t="s">
        <v>650</v>
      </c>
      <c r="L34" s="20">
        <v>13254</v>
      </c>
      <c r="M34" s="20">
        <v>14938</v>
      </c>
      <c r="N34" s="20">
        <v>15622</v>
      </c>
      <c r="O34" s="161">
        <v>15846</v>
      </c>
      <c r="P34" s="90">
        <v>16542</v>
      </c>
      <c r="Q34" s="90">
        <v>13979</v>
      </c>
      <c r="R34" s="373">
        <v>12731</v>
      </c>
      <c r="S34" s="373">
        <v>11996</v>
      </c>
      <c r="T34" s="395" t="s">
        <v>658</v>
      </c>
      <c r="U34" s="326"/>
      <c r="V34" s="20">
        <v>833</v>
      </c>
      <c r="W34" s="20">
        <v>1140</v>
      </c>
      <c r="X34" s="20">
        <v>1559</v>
      </c>
      <c r="Y34" s="161">
        <v>1719</v>
      </c>
      <c r="Z34" s="90">
        <v>1807</v>
      </c>
      <c r="AA34" s="90">
        <v>1855</v>
      </c>
      <c r="AB34" s="373">
        <v>1845</v>
      </c>
      <c r="AC34" s="373">
        <v>1623</v>
      </c>
      <c r="AD34" s="395" t="s">
        <v>666</v>
      </c>
      <c r="AE34" s="330"/>
    </row>
    <row r="35" spans="1:31" ht="15" customHeight="1" x14ac:dyDescent="0.25">
      <c r="A35" s="28" t="s">
        <v>79</v>
      </c>
      <c r="B35" s="22">
        <v>4097</v>
      </c>
      <c r="C35" s="22">
        <v>5079</v>
      </c>
      <c r="D35" s="22">
        <v>5678</v>
      </c>
      <c r="E35" s="159">
        <v>7107</v>
      </c>
      <c r="F35" s="89">
        <v>7697</v>
      </c>
      <c r="G35" s="89">
        <v>5769</v>
      </c>
      <c r="H35" s="343">
        <v>5147</v>
      </c>
      <c r="I35" s="343">
        <v>4981</v>
      </c>
      <c r="J35" s="396"/>
      <c r="L35" s="22">
        <v>3834</v>
      </c>
      <c r="M35" s="22">
        <v>4600</v>
      </c>
      <c r="N35" s="22">
        <v>4919</v>
      </c>
      <c r="O35" s="159">
        <v>6138</v>
      </c>
      <c r="P35" s="89">
        <v>6624</v>
      </c>
      <c r="Q35" s="89">
        <v>4759</v>
      </c>
      <c r="R35" s="343">
        <v>4071</v>
      </c>
      <c r="S35" s="343">
        <v>4035</v>
      </c>
      <c r="T35" s="396"/>
      <c r="U35" s="326"/>
      <c r="V35" s="22">
        <v>263</v>
      </c>
      <c r="W35" s="22">
        <v>479</v>
      </c>
      <c r="X35" s="22">
        <v>759</v>
      </c>
      <c r="Y35" s="159">
        <v>969</v>
      </c>
      <c r="Z35" s="89">
        <v>1073</v>
      </c>
      <c r="AA35" s="89">
        <v>1010</v>
      </c>
      <c r="AB35" s="343">
        <v>1076</v>
      </c>
      <c r="AC35" s="343">
        <v>946</v>
      </c>
      <c r="AD35" s="396"/>
      <c r="AE35" s="327"/>
    </row>
    <row r="36" spans="1:31" ht="15" customHeight="1" x14ac:dyDescent="0.25">
      <c r="A36" s="28" t="s">
        <v>80</v>
      </c>
      <c r="B36" s="22">
        <v>3483</v>
      </c>
      <c r="C36" s="22">
        <v>4077</v>
      </c>
      <c r="D36" s="22">
        <v>4303</v>
      </c>
      <c r="E36" s="159">
        <v>5239</v>
      </c>
      <c r="F36" s="92">
        <v>5164</v>
      </c>
      <c r="G36" s="92">
        <v>4983</v>
      </c>
      <c r="H36" s="343">
        <v>4787</v>
      </c>
      <c r="I36" s="343">
        <v>4381</v>
      </c>
      <c r="J36" s="396"/>
      <c r="L36" s="22">
        <v>3298</v>
      </c>
      <c r="M36" s="22">
        <v>3840</v>
      </c>
      <c r="N36" s="22">
        <v>4079</v>
      </c>
      <c r="O36" s="159">
        <v>4700</v>
      </c>
      <c r="P36" s="92">
        <v>4639</v>
      </c>
      <c r="Q36" s="92">
        <v>4409</v>
      </c>
      <c r="R36" s="343">
        <v>4266</v>
      </c>
      <c r="S36" s="343">
        <v>3893</v>
      </c>
      <c r="T36" s="396"/>
      <c r="U36" s="326"/>
      <c r="V36" s="22">
        <v>185</v>
      </c>
      <c r="W36" s="22">
        <v>237</v>
      </c>
      <c r="X36" s="22">
        <v>224</v>
      </c>
      <c r="Y36" s="159">
        <v>539</v>
      </c>
      <c r="Z36" s="92">
        <v>525</v>
      </c>
      <c r="AA36" s="92">
        <v>574</v>
      </c>
      <c r="AB36" s="343">
        <v>521</v>
      </c>
      <c r="AC36" s="343">
        <v>488</v>
      </c>
      <c r="AD36" s="396"/>
      <c r="AE36" s="327"/>
    </row>
    <row r="37" spans="1:31" ht="15" customHeight="1" x14ac:dyDescent="0.25">
      <c r="A37" s="28" t="s">
        <v>81</v>
      </c>
      <c r="B37" s="22">
        <v>3707</v>
      </c>
      <c r="C37" s="22">
        <v>4015</v>
      </c>
      <c r="D37" s="22">
        <v>4121</v>
      </c>
      <c r="E37" s="159">
        <v>3008</v>
      </c>
      <c r="F37" s="89">
        <v>3135</v>
      </c>
      <c r="G37" s="89">
        <v>2736</v>
      </c>
      <c r="H37" s="343">
        <v>2488</v>
      </c>
      <c r="I37" s="343">
        <v>2335</v>
      </c>
      <c r="J37" s="396"/>
      <c r="L37" s="22">
        <v>3457</v>
      </c>
      <c r="M37" s="22">
        <v>3751</v>
      </c>
      <c r="N37" s="22">
        <v>3776</v>
      </c>
      <c r="O37" s="159">
        <v>2884</v>
      </c>
      <c r="P37" s="89">
        <v>3013</v>
      </c>
      <c r="Q37" s="89">
        <v>2583</v>
      </c>
      <c r="R37" s="343">
        <v>2344</v>
      </c>
      <c r="S37" s="343">
        <v>2234</v>
      </c>
      <c r="T37" s="396"/>
      <c r="U37" s="326"/>
      <c r="V37" s="22">
        <v>250</v>
      </c>
      <c r="W37" s="22">
        <v>264</v>
      </c>
      <c r="X37" s="22">
        <v>345</v>
      </c>
      <c r="Y37" s="159">
        <v>124</v>
      </c>
      <c r="Z37" s="89">
        <v>122</v>
      </c>
      <c r="AA37" s="89">
        <v>153</v>
      </c>
      <c r="AB37" s="343">
        <v>144</v>
      </c>
      <c r="AC37" s="343">
        <v>101</v>
      </c>
      <c r="AD37" s="396"/>
      <c r="AE37" s="327"/>
    </row>
    <row r="38" spans="1:31" ht="15" customHeight="1" x14ac:dyDescent="0.25">
      <c r="A38" s="28" t="s">
        <v>82</v>
      </c>
      <c r="B38" s="22">
        <v>2414</v>
      </c>
      <c r="C38" s="22">
        <v>2489</v>
      </c>
      <c r="D38" s="22">
        <v>2631</v>
      </c>
      <c r="E38" s="159">
        <v>2114</v>
      </c>
      <c r="F38" s="89">
        <v>2236</v>
      </c>
      <c r="G38" s="89">
        <v>2225</v>
      </c>
      <c r="H38" s="343">
        <v>2060</v>
      </c>
      <c r="I38" s="343">
        <v>1855</v>
      </c>
      <c r="J38" s="396"/>
      <c r="L38" s="22">
        <v>2292</v>
      </c>
      <c r="M38" s="22">
        <v>2348</v>
      </c>
      <c r="N38" s="22">
        <v>2417</v>
      </c>
      <c r="O38" s="159">
        <v>2033</v>
      </c>
      <c r="P38" s="89">
        <v>2150</v>
      </c>
      <c r="Q38" s="89">
        <v>2112</v>
      </c>
      <c r="R38" s="343">
        <v>1963</v>
      </c>
      <c r="S38" s="343">
        <v>1774</v>
      </c>
      <c r="T38" s="396"/>
      <c r="U38" s="326"/>
      <c r="V38" s="22">
        <v>122</v>
      </c>
      <c r="W38" s="22">
        <v>141</v>
      </c>
      <c r="X38" s="22">
        <v>214</v>
      </c>
      <c r="Y38" s="159">
        <v>81</v>
      </c>
      <c r="Z38" s="89">
        <v>86</v>
      </c>
      <c r="AA38" s="89">
        <v>113</v>
      </c>
      <c r="AB38" s="343">
        <v>97</v>
      </c>
      <c r="AC38" s="343">
        <v>81</v>
      </c>
      <c r="AD38" s="396"/>
      <c r="AE38" s="327"/>
    </row>
    <row r="39" spans="1:31" ht="15" customHeight="1" x14ac:dyDescent="0.25">
      <c r="A39" s="28" t="s">
        <v>83</v>
      </c>
      <c r="B39" s="22">
        <v>54</v>
      </c>
      <c r="C39" s="22">
        <v>56</v>
      </c>
      <c r="D39" s="22">
        <v>51</v>
      </c>
      <c r="E39" s="159">
        <v>28</v>
      </c>
      <c r="F39" s="89">
        <v>30</v>
      </c>
      <c r="G39" s="89">
        <v>27</v>
      </c>
      <c r="H39" s="343">
        <v>26</v>
      </c>
      <c r="I39" s="343">
        <v>22</v>
      </c>
      <c r="J39" s="396"/>
      <c r="L39" s="22">
        <v>49</v>
      </c>
      <c r="M39" s="22">
        <v>54</v>
      </c>
      <c r="N39" s="22">
        <v>47</v>
      </c>
      <c r="O39" s="159">
        <v>24</v>
      </c>
      <c r="P39" s="89">
        <v>30</v>
      </c>
      <c r="Q39" s="89">
        <v>24</v>
      </c>
      <c r="R39" s="343">
        <v>25</v>
      </c>
      <c r="S39" s="343">
        <v>22</v>
      </c>
      <c r="T39" s="396"/>
      <c r="U39" s="326"/>
      <c r="V39" s="22">
        <v>5</v>
      </c>
      <c r="W39" s="22">
        <v>2</v>
      </c>
      <c r="X39" s="22">
        <v>4</v>
      </c>
      <c r="Y39" s="159">
        <v>4</v>
      </c>
      <c r="Z39" s="22">
        <v>0</v>
      </c>
      <c r="AA39" s="22">
        <v>3</v>
      </c>
      <c r="AB39" s="343">
        <v>1</v>
      </c>
      <c r="AC39" s="22">
        <v>0</v>
      </c>
      <c r="AD39" s="396"/>
      <c r="AE39" s="327"/>
    </row>
    <row r="40" spans="1:31" ht="15" customHeight="1" x14ac:dyDescent="0.25">
      <c r="A40" s="28" t="s">
        <v>84</v>
      </c>
      <c r="B40" s="22">
        <v>44</v>
      </c>
      <c r="C40" s="22">
        <v>43</v>
      </c>
      <c r="D40" s="22">
        <v>40</v>
      </c>
      <c r="E40" s="159">
        <v>16</v>
      </c>
      <c r="F40" s="89">
        <v>20</v>
      </c>
      <c r="G40" s="89">
        <v>24</v>
      </c>
      <c r="H40" s="343">
        <v>19</v>
      </c>
      <c r="I40" s="343">
        <v>9</v>
      </c>
      <c r="J40" s="396"/>
      <c r="L40" s="22">
        <v>43</v>
      </c>
      <c r="M40" s="22">
        <v>41</v>
      </c>
      <c r="N40" s="22">
        <v>39</v>
      </c>
      <c r="O40" s="159">
        <v>16</v>
      </c>
      <c r="P40" s="89">
        <v>20</v>
      </c>
      <c r="Q40" s="89">
        <v>24</v>
      </c>
      <c r="R40" s="343">
        <v>19</v>
      </c>
      <c r="S40" s="343">
        <v>8</v>
      </c>
      <c r="T40" s="396"/>
      <c r="U40" s="326"/>
      <c r="V40" s="22">
        <v>1</v>
      </c>
      <c r="W40" s="22">
        <v>2</v>
      </c>
      <c r="X40" s="22">
        <v>1</v>
      </c>
      <c r="Y40" s="159">
        <v>0</v>
      </c>
      <c r="Z40" s="22">
        <v>0</v>
      </c>
      <c r="AA40" s="22">
        <v>0</v>
      </c>
      <c r="AB40" s="22">
        <v>0</v>
      </c>
      <c r="AC40" s="343">
        <v>1</v>
      </c>
      <c r="AD40" s="396"/>
      <c r="AE40" s="327"/>
    </row>
    <row r="41" spans="1:31" ht="15" customHeight="1" x14ac:dyDescent="0.25">
      <c r="A41" s="28" t="s">
        <v>85</v>
      </c>
      <c r="B41" s="22">
        <v>260</v>
      </c>
      <c r="C41" s="22">
        <v>277</v>
      </c>
      <c r="D41" s="22">
        <v>331</v>
      </c>
      <c r="E41" s="159">
        <v>41</v>
      </c>
      <c r="F41" s="92">
        <v>50</v>
      </c>
      <c r="G41" s="92">
        <v>38</v>
      </c>
      <c r="H41" s="343">
        <v>36</v>
      </c>
      <c r="I41" s="343">
        <v>32</v>
      </c>
      <c r="J41" s="396"/>
      <c r="L41" s="22">
        <v>254</v>
      </c>
      <c r="M41" s="22">
        <v>262</v>
      </c>
      <c r="N41" s="22">
        <v>319</v>
      </c>
      <c r="O41" s="159">
        <v>39</v>
      </c>
      <c r="P41" s="92">
        <v>49</v>
      </c>
      <c r="Q41" s="92">
        <v>36</v>
      </c>
      <c r="R41" s="343">
        <v>30</v>
      </c>
      <c r="S41" s="343">
        <v>26</v>
      </c>
      <c r="T41" s="396"/>
      <c r="U41" s="326"/>
      <c r="V41" s="22">
        <v>6</v>
      </c>
      <c r="W41" s="22">
        <v>15</v>
      </c>
      <c r="X41" s="22">
        <v>12</v>
      </c>
      <c r="Y41" s="159">
        <v>2</v>
      </c>
      <c r="Z41" s="92">
        <v>1</v>
      </c>
      <c r="AA41" s="92">
        <v>2</v>
      </c>
      <c r="AB41" s="343">
        <v>6</v>
      </c>
      <c r="AC41" s="343">
        <v>6</v>
      </c>
      <c r="AD41" s="396"/>
      <c r="AE41" s="327"/>
    </row>
    <row r="42" spans="1:31" ht="15" customHeight="1" x14ac:dyDescent="0.25">
      <c r="A42" s="28" t="s">
        <v>86</v>
      </c>
      <c r="B42" s="22">
        <v>28</v>
      </c>
      <c r="C42" s="22">
        <v>42</v>
      </c>
      <c r="D42" s="22">
        <v>26</v>
      </c>
      <c r="E42" s="159">
        <v>12</v>
      </c>
      <c r="F42" s="92">
        <v>18</v>
      </c>
      <c r="G42" s="92">
        <v>32</v>
      </c>
      <c r="H42" s="343">
        <v>14</v>
      </c>
      <c r="I42" s="343">
        <v>5</v>
      </c>
      <c r="J42" s="396"/>
      <c r="L42" s="22">
        <v>27</v>
      </c>
      <c r="M42" s="22">
        <v>42</v>
      </c>
      <c r="N42" s="22">
        <v>26</v>
      </c>
      <c r="O42" s="159">
        <v>12</v>
      </c>
      <c r="P42" s="92">
        <v>18</v>
      </c>
      <c r="Q42" s="92">
        <v>32</v>
      </c>
      <c r="R42" s="343">
        <v>14</v>
      </c>
      <c r="S42" s="343">
        <v>5</v>
      </c>
      <c r="T42" s="396"/>
      <c r="U42" s="326"/>
      <c r="V42" s="22">
        <v>1</v>
      </c>
      <c r="W42" s="22">
        <v>0</v>
      </c>
      <c r="X42" s="22">
        <v>0</v>
      </c>
      <c r="Y42" s="159">
        <v>0</v>
      </c>
      <c r="Z42" s="92">
        <v>0</v>
      </c>
      <c r="AA42" s="92">
        <v>0</v>
      </c>
      <c r="AB42" s="22">
        <v>0</v>
      </c>
      <c r="AC42" s="22">
        <v>0</v>
      </c>
      <c r="AD42" s="396"/>
      <c r="AE42" s="327"/>
    </row>
    <row r="43" spans="1:31" x14ac:dyDescent="0.25">
      <c r="A43" s="6"/>
      <c r="B43" s="22"/>
      <c r="C43" s="22"/>
      <c r="D43" s="22"/>
      <c r="E43" s="159"/>
      <c r="F43" s="89"/>
      <c r="G43" s="89"/>
      <c r="H43" s="343"/>
      <c r="I43" s="343"/>
      <c r="J43" s="396"/>
      <c r="L43" s="22"/>
      <c r="M43" s="22"/>
      <c r="N43" s="22"/>
      <c r="O43" s="159"/>
      <c r="P43" s="89"/>
      <c r="Q43" s="89"/>
      <c r="R43" s="343"/>
      <c r="S43" s="343"/>
      <c r="T43" s="396"/>
      <c r="U43" s="326"/>
      <c r="V43" s="22"/>
      <c r="W43" s="22"/>
      <c r="X43" s="22"/>
      <c r="Y43" s="159"/>
      <c r="Z43" s="89"/>
      <c r="AA43" s="89"/>
      <c r="AB43" s="343"/>
      <c r="AC43" s="343"/>
      <c r="AD43" s="396"/>
      <c r="AE43" s="327"/>
    </row>
    <row r="44" spans="1:31" ht="15" customHeight="1" x14ac:dyDescent="0.25">
      <c r="A44" s="4" t="s">
        <v>87</v>
      </c>
      <c r="B44" s="20">
        <v>2882</v>
      </c>
      <c r="C44" s="20">
        <v>3185</v>
      </c>
      <c r="D44" s="20">
        <v>4099</v>
      </c>
      <c r="E44" s="161">
        <v>2619</v>
      </c>
      <c r="F44" s="90">
        <v>2983</v>
      </c>
      <c r="G44" s="90">
        <v>3504</v>
      </c>
      <c r="H44" s="373">
        <v>3805</v>
      </c>
      <c r="I44" s="373">
        <v>4151</v>
      </c>
      <c r="J44" s="395" t="s">
        <v>651</v>
      </c>
      <c r="L44" s="20">
        <v>2837</v>
      </c>
      <c r="M44" s="20">
        <v>3131</v>
      </c>
      <c r="N44" s="20">
        <v>4051</v>
      </c>
      <c r="O44" s="161">
        <v>2589</v>
      </c>
      <c r="P44" s="90">
        <v>2941</v>
      </c>
      <c r="Q44" s="90">
        <v>3456</v>
      </c>
      <c r="R44" s="373">
        <v>3773</v>
      </c>
      <c r="S44" s="373">
        <v>4063</v>
      </c>
      <c r="T44" s="395" t="s">
        <v>659</v>
      </c>
      <c r="U44" s="326"/>
      <c r="V44" s="20">
        <v>45</v>
      </c>
      <c r="W44" s="20">
        <v>54</v>
      </c>
      <c r="X44" s="20">
        <v>48</v>
      </c>
      <c r="Y44" s="161">
        <v>30</v>
      </c>
      <c r="Z44" s="90">
        <v>42</v>
      </c>
      <c r="AA44" s="90">
        <v>48</v>
      </c>
      <c r="AB44" s="373">
        <v>32</v>
      </c>
      <c r="AC44" s="373">
        <v>88</v>
      </c>
      <c r="AD44" s="395" t="s">
        <v>667</v>
      </c>
      <c r="AE44" s="327"/>
    </row>
    <row r="45" spans="1:31" ht="15" customHeight="1" x14ac:dyDescent="0.25">
      <c r="A45" s="28" t="s">
        <v>88</v>
      </c>
      <c r="B45" s="22">
        <v>0</v>
      </c>
      <c r="C45" s="22">
        <v>0</v>
      </c>
      <c r="D45" s="22">
        <v>0</v>
      </c>
      <c r="E45" s="159">
        <v>219</v>
      </c>
      <c r="F45" s="22">
        <v>317</v>
      </c>
      <c r="G45" s="22">
        <v>388</v>
      </c>
      <c r="H45" s="343">
        <v>470</v>
      </c>
      <c r="I45" s="343">
        <v>454</v>
      </c>
      <c r="J45" s="396"/>
      <c r="L45" s="22">
        <v>0</v>
      </c>
      <c r="M45" s="22">
        <v>0</v>
      </c>
      <c r="N45" s="22">
        <v>0</v>
      </c>
      <c r="O45" s="159">
        <v>217</v>
      </c>
      <c r="P45" s="22">
        <v>309</v>
      </c>
      <c r="Q45" s="22">
        <v>378</v>
      </c>
      <c r="R45" s="343">
        <v>464</v>
      </c>
      <c r="S45" s="343">
        <v>428</v>
      </c>
      <c r="T45" s="396"/>
      <c r="U45" s="326"/>
      <c r="V45" s="22">
        <v>0</v>
      </c>
      <c r="W45" s="22">
        <v>0</v>
      </c>
      <c r="X45" s="22">
        <v>0</v>
      </c>
      <c r="Y45" s="159">
        <v>2</v>
      </c>
      <c r="Z45" s="22">
        <v>8</v>
      </c>
      <c r="AA45" s="22">
        <v>10</v>
      </c>
      <c r="AB45" s="343">
        <v>6</v>
      </c>
      <c r="AC45" s="343">
        <v>26</v>
      </c>
      <c r="AD45" s="396"/>
      <c r="AE45" s="327"/>
    </row>
    <row r="46" spans="1:31" ht="15" customHeight="1" x14ac:dyDescent="0.25">
      <c r="A46" s="28" t="s">
        <v>89</v>
      </c>
      <c r="B46" s="22">
        <v>0</v>
      </c>
      <c r="C46" s="22">
        <v>0</v>
      </c>
      <c r="D46" s="22">
        <v>0</v>
      </c>
      <c r="E46" s="159">
        <v>55</v>
      </c>
      <c r="F46" s="22">
        <v>97</v>
      </c>
      <c r="G46" s="22">
        <v>99</v>
      </c>
      <c r="H46" s="343">
        <v>130</v>
      </c>
      <c r="I46" s="343">
        <v>111</v>
      </c>
      <c r="J46" s="396"/>
      <c r="L46" s="22">
        <v>0</v>
      </c>
      <c r="M46" s="22">
        <v>0</v>
      </c>
      <c r="N46" s="22">
        <v>0</v>
      </c>
      <c r="O46" s="159">
        <v>54</v>
      </c>
      <c r="P46" s="22">
        <v>91</v>
      </c>
      <c r="Q46" s="22">
        <v>93</v>
      </c>
      <c r="R46" s="343">
        <v>127</v>
      </c>
      <c r="S46" s="343">
        <v>94</v>
      </c>
      <c r="T46" s="396"/>
      <c r="U46" s="326"/>
      <c r="V46" s="22">
        <v>0</v>
      </c>
      <c r="W46" s="22">
        <v>0</v>
      </c>
      <c r="X46" s="22">
        <v>0</v>
      </c>
      <c r="Y46" s="159">
        <v>1</v>
      </c>
      <c r="Z46" s="22">
        <v>6</v>
      </c>
      <c r="AA46" s="22">
        <v>6</v>
      </c>
      <c r="AB46" s="343">
        <v>3</v>
      </c>
      <c r="AC46" s="343">
        <v>17</v>
      </c>
      <c r="AD46" s="396"/>
      <c r="AE46" s="327"/>
    </row>
    <row r="47" spans="1:31" ht="15" customHeight="1" x14ac:dyDescent="0.25">
      <c r="A47" s="28" t="s">
        <v>90</v>
      </c>
      <c r="B47" s="22">
        <v>2587</v>
      </c>
      <c r="C47" s="22">
        <v>2882</v>
      </c>
      <c r="D47" s="22">
        <v>3660</v>
      </c>
      <c r="E47" s="159">
        <v>2118</v>
      </c>
      <c r="F47" s="22">
        <v>2324</v>
      </c>
      <c r="G47" s="22">
        <v>2713</v>
      </c>
      <c r="H47" s="343">
        <v>2920</v>
      </c>
      <c r="I47" s="343">
        <v>3278</v>
      </c>
      <c r="J47" s="396"/>
      <c r="L47" s="22">
        <v>2551</v>
      </c>
      <c r="M47" s="22">
        <v>2836</v>
      </c>
      <c r="N47" s="22">
        <v>3614</v>
      </c>
      <c r="O47" s="159">
        <v>2093</v>
      </c>
      <c r="P47" s="22">
        <v>2298</v>
      </c>
      <c r="Q47" s="22">
        <v>2684</v>
      </c>
      <c r="R47" s="343">
        <v>2898</v>
      </c>
      <c r="S47" s="343">
        <v>3235</v>
      </c>
      <c r="T47" s="396"/>
      <c r="U47" s="326"/>
      <c r="V47" s="22">
        <v>36</v>
      </c>
      <c r="W47" s="22">
        <v>46</v>
      </c>
      <c r="X47" s="22">
        <v>46</v>
      </c>
      <c r="Y47" s="159">
        <v>25</v>
      </c>
      <c r="Z47" s="22">
        <v>26</v>
      </c>
      <c r="AA47" s="22">
        <v>29</v>
      </c>
      <c r="AB47" s="343">
        <v>22</v>
      </c>
      <c r="AC47" s="343">
        <v>43</v>
      </c>
      <c r="AD47" s="396"/>
      <c r="AE47" s="327"/>
    </row>
    <row r="48" spans="1:31" ht="15" customHeight="1" x14ac:dyDescent="0.25">
      <c r="A48" s="28" t="s">
        <v>91</v>
      </c>
      <c r="B48" s="22">
        <v>295</v>
      </c>
      <c r="C48" s="22">
        <v>303</v>
      </c>
      <c r="D48" s="22">
        <v>439</v>
      </c>
      <c r="E48" s="159">
        <v>227</v>
      </c>
      <c r="F48" s="22">
        <v>245</v>
      </c>
      <c r="G48" s="22">
        <v>304</v>
      </c>
      <c r="H48" s="343">
        <v>285</v>
      </c>
      <c r="I48" s="343">
        <v>308</v>
      </c>
      <c r="J48" s="396"/>
      <c r="L48" s="22">
        <v>286</v>
      </c>
      <c r="M48" s="22">
        <v>295</v>
      </c>
      <c r="N48" s="22">
        <v>437</v>
      </c>
      <c r="O48" s="159">
        <v>225</v>
      </c>
      <c r="P48" s="22">
        <v>243</v>
      </c>
      <c r="Q48" s="22">
        <v>301</v>
      </c>
      <c r="R48" s="343">
        <v>284</v>
      </c>
      <c r="S48" s="343">
        <v>306</v>
      </c>
      <c r="T48" s="396"/>
      <c r="U48" s="326"/>
      <c r="V48" s="22">
        <v>9</v>
      </c>
      <c r="W48" s="22">
        <v>8</v>
      </c>
      <c r="X48" s="22">
        <v>2</v>
      </c>
      <c r="Y48" s="159">
        <v>2</v>
      </c>
      <c r="Z48" s="22">
        <v>2</v>
      </c>
      <c r="AA48" s="22">
        <v>3</v>
      </c>
      <c r="AB48" s="343">
        <v>1</v>
      </c>
      <c r="AC48" s="343">
        <v>2</v>
      </c>
      <c r="AD48" s="396"/>
      <c r="AE48" s="327"/>
    </row>
    <row r="49" spans="1:34" ht="14.25" customHeight="1" x14ac:dyDescent="0.25">
      <c r="B49" s="174"/>
      <c r="C49" s="174"/>
      <c r="D49" s="174"/>
      <c r="E49" s="159"/>
      <c r="F49" s="89"/>
      <c r="G49" s="89"/>
      <c r="H49" s="341"/>
      <c r="I49" s="341"/>
      <c r="J49" s="398"/>
      <c r="L49" s="174"/>
      <c r="M49" s="174"/>
      <c r="N49" s="174"/>
      <c r="O49" s="159"/>
      <c r="P49" s="89"/>
      <c r="Q49" s="89"/>
      <c r="R49" s="341"/>
      <c r="S49" s="341"/>
      <c r="T49" s="398"/>
      <c r="U49" s="326"/>
      <c r="V49" s="174"/>
      <c r="W49" s="174"/>
      <c r="X49" s="174"/>
      <c r="Y49" s="159"/>
      <c r="Z49" s="89"/>
      <c r="AA49" s="89"/>
      <c r="AB49" s="341"/>
      <c r="AC49" s="341"/>
      <c r="AD49" s="398"/>
      <c r="AE49" s="327"/>
    </row>
    <row r="50" spans="1:34" ht="15" customHeight="1" x14ac:dyDescent="0.25">
      <c r="A50" s="4" t="s">
        <v>92</v>
      </c>
      <c r="B50" s="20">
        <v>1401</v>
      </c>
      <c r="C50" s="20">
        <v>1427</v>
      </c>
      <c r="D50" s="20">
        <v>1557</v>
      </c>
      <c r="E50" s="161">
        <v>214</v>
      </c>
      <c r="F50" s="90">
        <v>257</v>
      </c>
      <c r="G50" s="90">
        <v>199</v>
      </c>
      <c r="H50" s="373">
        <v>206</v>
      </c>
      <c r="I50" s="373">
        <v>223</v>
      </c>
      <c r="J50" s="395" t="s">
        <v>652</v>
      </c>
      <c r="L50" s="20">
        <v>1349</v>
      </c>
      <c r="M50" s="20">
        <v>1376</v>
      </c>
      <c r="N50" s="20">
        <v>1518</v>
      </c>
      <c r="O50" s="161">
        <v>207</v>
      </c>
      <c r="P50" s="90">
        <v>254</v>
      </c>
      <c r="Q50" s="90">
        <v>199</v>
      </c>
      <c r="R50" s="373">
        <v>204</v>
      </c>
      <c r="S50" s="373">
        <v>221</v>
      </c>
      <c r="T50" s="395" t="s">
        <v>660</v>
      </c>
      <c r="U50" s="326"/>
      <c r="V50" s="20">
        <v>52</v>
      </c>
      <c r="W50" s="20">
        <v>51</v>
      </c>
      <c r="X50" s="20">
        <v>39</v>
      </c>
      <c r="Y50" s="161">
        <v>7</v>
      </c>
      <c r="Z50" s="90">
        <v>3</v>
      </c>
      <c r="AA50" s="90">
        <v>0</v>
      </c>
      <c r="AB50" s="373">
        <v>2</v>
      </c>
      <c r="AC50" s="373">
        <v>2</v>
      </c>
      <c r="AD50" s="395" t="s">
        <v>668</v>
      </c>
      <c r="AE50" s="327"/>
    </row>
    <row r="51" spans="1:34" ht="13.8" thickBot="1" x14ac:dyDescent="0.3">
      <c r="A51" s="78"/>
      <c r="B51" s="79"/>
      <c r="C51" s="79"/>
      <c r="D51" s="79"/>
      <c r="E51" s="162"/>
      <c r="F51" s="93"/>
      <c r="G51" s="93"/>
      <c r="H51" s="209"/>
      <c r="I51" s="209"/>
      <c r="J51" s="209"/>
      <c r="K51" s="209"/>
      <c r="L51" s="79"/>
      <c r="M51" s="79"/>
      <c r="N51" s="79"/>
      <c r="O51" s="162"/>
      <c r="P51" s="79"/>
      <c r="Q51" s="79"/>
      <c r="R51" s="79"/>
      <c r="S51" s="79"/>
      <c r="T51" s="79"/>
      <c r="U51" s="80"/>
      <c r="V51" s="79"/>
      <c r="W51" s="79"/>
      <c r="X51" s="81"/>
      <c r="Y51" s="162"/>
      <c r="Z51" s="93"/>
      <c r="AA51" s="93"/>
      <c r="AB51" s="80"/>
      <c r="AC51" s="80"/>
      <c r="AD51" s="21"/>
      <c r="AE51" s="327"/>
    </row>
    <row r="52" spans="1:34" x14ac:dyDescent="0.25">
      <c r="A52" s="8"/>
      <c r="B52" s="9"/>
      <c r="C52" s="9"/>
      <c r="D52" s="9"/>
      <c r="E52" s="9"/>
      <c r="F52" s="9"/>
      <c r="G52" s="9"/>
      <c r="H52" s="9"/>
      <c r="I52" s="9"/>
      <c r="J52" s="9"/>
      <c r="K52" s="9"/>
      <c r="L52" s="1"/>
      <c r="V52" s="1"/>
      <c r="AD52" s="399"/>
    </row>
    <row r="53" spans="1:34" ht="15.75" customHeight="1" x14ac:dyDescent="0.25">
      <c r="A53" s="673" t="s">
        <v>819</v>
      </c>
      <c r="B53" s="673"/>
      <c r="C53" s="673"/>
      <c r="D53" s="673"/>
      <c r="E53" s="24"/>
      <c r="F53" s="24"/>
      <c r="G53" s="24"/>
      <c r="H53" s="24"/>
      <c r="I53" s="24"/>
      <c r="J53" s="24"/>
      <c r="K53" s="24"/>
      <c r="L53" s="1"/>
      <c r="V53" s="1"/>
    </row>
    <row r="54" spans="1:34" ht="15.75" customHeight="1" x14ac:dyDescent="0.25">
      <c r="A54" s="351"/>
      <c r="B54" s="351"/>
      <c r="C54" s="351"/>
      <c r="D54" s="351"/>
      <c r="E54" s="24"/>
      <c r="F54" s="24"/>
      <c r="G54" s="24"/>
      <c r="H54" s="24"/>
      <c r="I54" s="24"/>
      <c r="J54" s="24"/>
      <c r="K54" s="24"/>
      <c r="L54" s="1"/>
      <c r="V54" s="1"/>
    </row>
    <row r="55" spans="1:34" ht="183.45" customHeight="1" x14ac:dyDescent="0.25">
      <c r="A55" s="673" t="s">
        <v>820</v>
      </c>
      <c r="B55" s="673"/>
      <c r="C55" s="673"/>
      <c r="D55" s="673"/>
      <c r="E55" s="673"/>
      <c r="F55" s="673"/>
      <c r="G55" s="673"/>
      <c r="H55" s="673"/>
      <c r="I55" s="673"/>
      <c r="J55" s="673"/>
      <c r="K55" s="673"/>
      <c r="L55" s="673"/>
      <c r="M55" s="673"/>
      <c r="N55" s="673"/>
      <c r="O55" s="673"/>
      <c r="P55" s="673"/>
      <c r="Q55" s="673"/>
      <c r="R55" s="673"/>
      <c r="S55" s="348"/>
      <c r="T55" s="348"/>
      <c r="V55" s="1"/>
    </row>
    <row r="56" spans="1:34" ht="15" customHeight="1" x14ac:dyDescent="0.25">
      <c r="A56" s="348"/>
      <c r="B56" s="348"/>
      <c r="C56" s="348"/>
      <c r="D56" s="348"/>
      <c r="E56" s="348"/>
      <c r="F56" s="348"/>
      <c r="G56" s="348"/>
      <c r="H56" s="348"/>
      <c r="I56" s="348"/>
      <c r="J56" s="348"/>
      <c r="K56" s="348"/>
      <c r="L56" s="348"/>
      <c r="M56" s="348"/>
      <c r="N56" s="348"/>
      <c r="O56" s="348"/>
      <c r="P56" s="348"/>
      <c r="Q56" s="348"/>
      <c r="R56" s="348"/>
      <c r="S56" s="348"/>
      <c r="T56" s="348"/>
      <c r="V56" s="1"/>
    </row>
    <row r="57" spans="1:34" ht="12.75" customHeight="1" x14ac:dyDescent="0.25">
      <c r="A57" s="674" t="s">
        <v>93</v>
      </c>
      <c r="B57" s="674"/>
      <c r="C57" s="674"/>
      <c r="D57" s="674"/>
      <c r="E57" s="674"/>
      <c r="F57" s="674"/>
      <c r="G57" s="674"/>
      <c r="H57" s="674"/>
      <c r="I57" s="674"/>
      <c r="J57" s="674"/>
      <c r="K57" s="674"/>
      <c r="L57" s="674"/>
      <c r="M57" s="674"/>
      <c r="N57" s="674"/>
      <c r="O57" s="674"/>
      <c r="P57" s="674"/>
      <c r="Q57" s="674"/>
      <c r="R57" s="674"/>
      <c r="S57" s="674"/>
      <c r="T57" s="674"/>
      <c r="U57" s="674"/>
      <c r="V57" s="674"/>
      <c r="W57" s="674"/>
      <c r="X57" s="674"/>
      <c r="Y57" s="674"/>
      <c r="Z57" s="674"/>
      <c r="AA57" s="674"/>
      <c r="AB57" s="674"/>
      <c r="AC57" s="349"/>
      <c r="AD57" s="349"/>
    </row>
    <row r="58" spans="1:34" x14ac:dyDescent="0.25">
      <c r="A58" s="673" t="s">
        <v>94</v>
      </c>
      <c r="B58" s="673"/>
      <c r="C58" s="673"/>
      <c r="D58" s="673"/>
      <c r="E58" s="673"/>
      <c r="F58" s="673"/>
      <c r="G58" s="673"/>
      <c r="H58" s="673"/>
      <c r="I58" s="673"/>
      <c r="J58" s="673"/>
      <c r="K58" s="673"/>
      <c r="L58" s="673"/>
      <c r="M58" s="673"/>
      <c r="N58" s="673"/>
      <c r="O58" s="673"/>
      <c r="P58" s="673"/>
      <c r="Q58" s="673"/>
      <c r="R58" s="673"/>
      <c r="S58" s="673"/>
      <c r="T58" s="673"/>
      <c r="U58" s="673"/>
      <c r="V58" s="673"/>
      <c r="W58" s="673"/>
      <c r="X58" s="673"/>
      <c r="Y58" s="673"/>
      <c r="Z58" s="673"/>
      <c r="AA58" s="673"/>
      <c r="AB58" s="673"/>
      <c r="AC58" s="673"/>
      <c r="AD58" s="673"/>
      <c r="AE58" s="673"/>
      <c r="AF58" s="673"/>
      <c r="AG58" s="673"/>
      <c r="AH58" s="673"/>
    </row>
    <row r="59" spans="1:34" ht="409.6" hidden="1" customHeight="1" x14ac:dyDescent="0.25">
      <c r="B59" s="1"/>
      <c r="H59" s="4"/>
      <c r="I59" s="4"/>
      <c r="J59" s="4"/>
      <c r="K59" s="4"/>
      <c r="L59" s="1"/>
      <c r="V59" s="1"/>
    </row>
  </sheetData>
  <mergeCells count="10">
    <mergeCell ref="A1:E1"/>
    <mergeCell ref="A3:E3"/>
    <mergeCell ref="A5:E5"/>
    <mergeCell ref="A58:AH58"/>
    <mergeCell ref="A57:AB57"/>
    <mergeCell ref="A53:D53"/>
    <mergeCell ref="A55:R55"/>
    <mergeCell ref="B7:I7"/>
    <mergeCell ref="L7:S7"/>
    <mergeCell ref="V7:AD7"/>
  </mergeCells>
  <pageMargins left="0.23622047244094491" right="0.23622047244094491" top="0.74803149606299213" bottom="0.74803149606299213" header="0.31496062992125984" footer="0.31496062992125984"/>
  <pageSetup paperSize="9" scale="3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60"/>
  <sheetViews>
    <sheetView showGridLines="0" workbookViewId="0"/>
  </sheetViews>
  <sheetFormatPr defaultColWidth="9" defaultRowHeight="13.2" x14ac:dyDescent="0.25"/>
  <cols>
    <col min="1" max="1" width="56.69921875" style="1" customWidth="1"/>
    <col min="2" max="2" width="12.09765625" style="1" customWidth="1"/>
    <col min="3" max="3" width="12.796875" style="1" customWidth="1"/>
    <col min="4" max="4" width="14.59765625" style="1" customWidth="1"/>
    <col min="5" max="5" width="14.69921875" style="1" customWidth="1"/>
    <col min="6" max="6" width="17.19921875" style="1" customWidth="1"/>
    <col min="7" max="7" width="13.09765625" style="1" customWidth="1"/>
    <col min="8" max="10" width="9" style="1"/>
    <col min="11" max="11" width="13.09765625" style="1" customWidth="1"/>
    <col min="12" max="12" width="10.296875" style="1" customWidth="1"/>
    <col min="13" max="13" width="10.59765625" style="1" bestFit="1" customWidth="1"/>
    <col min="14" max="15" width="9" style="1"/>
    <col min="16" max="16" width="12.09765625" style="1" customWidth="1"/>
    <col min="17" max="18" width="9" style="1"/>
    <col min="19" max="19" width="10.796875" style="1" customWidth="1"/>
    <col min="20" max="198" width="9" style="1"/>
    <col min="199" max="199" width="1.19921875" style="1" customWidth="1"/>
    <col min="200" max="200" width="70.59765625" style="1" customWidth="1"/>
    <col min="201" max="205" width="10.59765625" style="1" customWidth="1"/>
    <col min="206" max="454" width="9" style="1"/>
    <col min="455" max="455" width="1.19921875" style="1" customWidth="1"/>
    <col min="456" max="456" width="70.59765625" style="1" customWidth="1"/>
    <col min="457" max="461" width="10.59765625" style="1" customWidth="1"/>
    <col min="462" max="710" width="9" style="1"/>
    <col min="711" max="711" width="1.19921875" style="1" customWidth="1"/>
    <col min="712" max="712" width="70.59765625" style="1" customWidth="1"/>
    <col min="713" max="717" width="10.59765625" style="1" customWidth="1"/>
    <col min="718" max="966" width="9" style="1"/>
    <col min="967" max="967" width="1.19921875" style="1" customWidth="1"/>
    <col min="968" max="968" width="70.59765625" style="1" customWidth="1"/>
    <col min="969" max="973" width="10.59765625" style="1" customWidth="1"/>
    <col min="974" max="1222" width="9" style="1"/>
    <col min="1223" max="1223" width="1.19921875" style="1" customWidth="1"/>
    <col min="1224" max="1224" width="70.59765625" style="1" customWidth="1"/>
    <col min="1225" max="1229" width="10.59765625" style="1" customWidth="1"/>
    <col min="1230" max="1478" width="9" style="1"/>
    <col min="1479" max="1479" width="1.19921875" style="1" customWidth="1"/>
    <col min="1480" max="1480" width="70.59765625" style="1" customWidth="1"/>
    <col min="1481" max="1485" width="10.59765625" style="1" customWidth="1"/>
    <col min="1486" max="1734" width="9" style="1"/>
    <col min="1735" max="1735" width="1.19921875" style="1" customWidth="1"/>
    <col min="1736" max="1736" width="70.59765625" style="1" customWidth="1"/>
    <col min="1737" max="1741" width="10.59765625" style="1" customWidth="1"/>
    <col min="1742" max="1990" width="9" style="1"/>
    <col min="1991" max="1991" width="1.19921875" style="1" customWidth="1"/>
    <col min="1992" max="1992" width="70.59765625" style="1" customWidth="1"/>
    <col min="1993" max="1997" width="10.59765625" style="1" customWidth="1"/>
    <col min="1998" max="2246" width="9" style="1"/>
    <col min="2247" max="2247" width="1.19921875" style="1" customWidth="1"/>
    <col min="2248" max="2248" width="70.59765625" style="1" customWidth="1"/>
    <col min="2249" max="2253" width="10.59765625" style="1" customWidth="1"/>
    <col min="2254" max="2502" width="9" style="1"/>
    <col min="2503" max="2503" width="1.19921875" style="1" customWidth="1"/>
    <col min="2504" max="2504" width="70.59765625" style="1" customWidth="1"/>
    <col min="2505" max="2509" width="10.59765625" style="1" customWidth="1"/>
    <col min="2510" max="2758" width="9" style="1"/>
    <col min="2759" max="2759" width="1.19921875" style="1" customWidth="1"/>
    <col min="2760" max="2760" width="70.59765625" style="1" customWidth="1"/>
    <col min="2761" max="2765" width="10.59765625" style="1" customWidth="1"/>
    <col min="2766" max="3014" width="9" style="1"/>
    <col min="3015" max="3015" width="1.19921875" style="1" customWidth="1"/>
    <col min="3016" max="3016" width="70.59765625" style="1" customWidth="1"/>
    <col min="3017" max="3021" width="10.59765625" style="1" customWidth="1"/>
    <col min="3022" max="3270" width="9" style="1"/>
    <col min="3271" max="3271" width="1.19921875" style="1" customWidth="1"/>
    <col min="3272" max="3272" width="70.59765625" style="1" customWidth="1"/>
    <col min="3273" max="3277" width="10.59765625" style="1" customWidth="1"/>
    <col min="3278" max="3526" width="9" style="1"/>
    <col min="3527" max="3527" width="1.19921875" style="1" customWidth="1"/>
    <col min="3528" max="3528" width="70.59765625" style="1" customWidth="1"/>
    <col min="3529" max="3533" width="10.59765625" style="1" customWidth="1"/>
    <col min="3534" max="3782" width="9" style="1"/>
    <col min="3783" max="3783" width="1.19921875" style="1" customWidth="1"/>
    <col min="3784" max="3784" width="70.59765625" style="1" customWidth="1"/>
    <col min="3785" max="3789" width="10.59765625" style="1" customWidth="1"/>
    <col min="3790" max="4038" width="9" style="1"/>
    <col min="4039" max="4039" width="1.19921875" style="1" customWidth="1"/>
    <col min="4040" max="4040" width="70.59765625" style="1" customWidth="1"/>
    <col min="4041" max="4045" width="10.59765625" style="1" customWidth="1"/>
    <col min="4046" max="4294" width="9" style="1"/>
    <col min="4295" max="4295" width="1.19921875" style="1" customWidth="1"/>
    <col min="4296" max="4296" width="70.59765625" style="1" customWidth="1"/>
    <col min="4297" max="4301" width="10.59765625" style="1" customWidth="1"/>
    <col min="4302" max="4550" width="9" style="1"/>
    <col min="4551" max="4551" width="1.19921875" style="1" customWidth="1"/>
    <col min="4552" max="4552" width="70.59765625" style="1" customWidth="1"/>
    <col min="4553" max="4557" width="10.59765625" style="1" customWidth="1"/>
    <col min="4558" max="4806" width="9" style="1"/>
    <col min="4807" max="4807" width="1.19921875" style="1" customWidth="1"/>
    <col min="4808" max="4808" width="70.59765625" style="1" customWidth="1"/>
    <col min="4809" max="4813" width="10.59765625" style="1" customWidth="1"/>
    <col min="4814" max="5062" width="9" style="1"/>
    <col min="5063" max="5063" width="1.19921875" style="1" customWidth="1"/>
    <col min="5064" max="5064" width="70.59765625" style="1" customWidth="1"/>
    <col min="5065" max="5069" width="10.59765625" style="1" customWidth="1"/>
    <col min="5070" max="5318" width="9" style="1"/>
    <col min="5319" max="5319" width="1.19921875" style="1" customWidth="1"/>
    <col min="5320" max="5320" width="70.59765625" style="1" customWidth="1"/>
    <col min="5321" max="5325" width="10.59765625" style="1" customWidth="1"/>
    <col min="5326" max="5574" width="9" style="1"/>
    <col min="5575" max="5575" width="1.19921875" style="1" customWidth="1"/>
    <col min="5576" max="5576" width="70.59765625" style="1" customWidth="1"/>
    <col min="5577" max="5581" width="10.59765625" style="1" customWidth="1"/>
    <col min="5582" max="5830" width="9" style="1"/>
    <col min="5831" max="5831" width="1.19921875" style="1" customWidth="1"/>
    <col min="5832" max="5832" width="70.59765625" style="1" customWidth="1"/>
    <col min="5833" max="5837" width="10.59765625" style="1" customWidth="1"/>
    <col min="5838" max="6086" width="9" style="1"/>
    <col min="6087" max="6087" width="1.19921875" style="1" customWidth="1"/>
    <col min="6088" max="6088" width="70.59765625" style="1" customWidth="1"/>
    <col min="6089" max="6093" width="10.59765625" style="1" customWidth="1"/>
    <col min="6094" max="6342" width="9" style="1"/>
    <col min="6343" max="6343" width="1.19921875" style="1" customWidth="1"/>
    <col min="6344" max="6344" width="70.59765625" style="1" customWidth="1"/>
    <col min="6345" max="6349" width="10.59765625" style="1" customWidth="1"/>
    <col min="6350" max="6598" width="9" style="1"/>
    <col min="6599" max="6599" width="1.19921875" style="1" customWidth="1"/>
    <col min="6600" max="6600" width="70.59765625" style="1" customWidth="1"/>
    <col min="6601" max="6605" width="10.59765625" style="1" customWidth="1"/>
    <col min="6606" max="6854" width="9" style="1"/>
    <col min="6855" max="6855" width="1.19921875" style="1" customWidth="1"/>
    <col min="6856" max="6856" width="70.59765625" style="1" customWidth="1"/>
    <col min="6857" max="6861" width="10.59765625" style="1" customWidth="1"/>
    <col min="6862" max="7110" width="9" style="1"/>
    <col min="7111" max="7111" width="1.19921875" style="1" customWidth="1"/>
    <col min="7112" max="7112" width="70.59765625" style="1" customWidth="1"/>
    <col min="7113" max="7117" width="10.59765625" style="1" customWidth="1"/>
    <col min="7118" max="7366" width="9" style="1"/>
    <col min="7367" max="7367" width="1.19921875" style="1" customWidth="1"/>
    <col min="7368" max="7368" width="70.59765625" style="1" customWidth="1"/>
    <col min="7369" max="7373" width="10.59765625" style="1" customWidth="1"/>
    <col min="7374" max="7622" width="9" style="1"/>
    <col min="7623" max="7623" width="1.19921875" style="1" customWidth="1"/>
    <col min="7624" max="7624" width="70.59765625" style="1" customWidth="1"/>
    <col min="7625" max="7629" width="10.59765625" style="1" customWidth="1"/>
    <col min="7630" max="7878" width="9" style="1"/>
    <col min="7879" max="7879" width="1.19921875" style="1" customWidth="1"/>
    <col min="7880" max="7880" width="70.59765625" style="1" customWidth="1"/>
    <col min="7881" max="7885" width="10.59765625" style="1" customWidth="1"/>
    <col min="7886" max="8134" width="9" style="1"/>
    <col min="8135" max="8135" width="1.19921875" style="1" customWidth="1"/>
    <col min="8136" max="8136" width="70.59765625" style="1" customWidth="1"/>
    <col min="8137" max="8141" width="10.59765625" style="1" customWidth="1"/>
    <col min="8142" max="8390" width="9" style="1"/>
    <col min="8391" max="8391" width="1.19921875" style="1" customWidth="1"/>
    <col min="8392" max="8392" width="70.59765625" style="1" customWidth="1"/>
    <col min="8393" max="8397" width="10.59765625" style="1" customWidth="1"/>
    <col min="8398" max="8646" width="9" style="1"/>
    <col min="8647" max="8647" width="1.19921875" style="1" customWidth="1"/>
    <col min="8648" max="8648" width="70.59765625" style="1" customWidth="1"/>
    <col min="8649" max="8653" width="10.59765625" style="1" customWidth="1"/>
    <col min="8654" max="8902" width="9" style="1"/>
    <col min="8903" max="8903" width="1.19921875" style="1" customWidth="1"/>
    <col min="8904" max="8904" width="70.59765625" style="1" customWidth="1"/>
    <col min="8905" max="8909" width="10.59765625" style="1" customWidth="1"/>
    <col min="8910" max="9158" width="9" style="1"/>
    <col min="9159" max="9159" width="1.19921875" style="1" customWidth="1"/>
    <col min="9160" max="9160" width="70.59765625" style="1" customWidth="1"/>
    <col min="9161" max="9165" width="10.59765625" style="1" customWidth="1"/>
    <col min="9166" max="9414" width="9" style="1"/>
    <col min="9415" max="9415" width="1.19921875" style="1" customWidth="1"/>
    <col min="9416" max="9416" width="70.59765625" style="1" customWidth="1"/>
    <col min="9417" max="9421" width="10.59765625" style="1" customWidth="1"/>
    <col min="9422" max="9670" width="9" style="1"/>
    <col min="9671" max="9671" width="1.19921875" style="1" customWidth="1"/>
    <col min="9672" max="9672" width="70.59765625" style="1" customWidth="1"/>
    <col min="9673" max="9677" width="10.59765625" style="1" customWidth="1"/>
    <col min="9678" max="9926" width="9" style="1"/>
    <col min="9927" max="9927" width="1.19921875" style="1" customWidth="1"/>
    <col min="9928" max="9928" width="70.59765625" style="1" customWidth="1"/>
    <col min="9929" max="9933" width="10.59765625" style="1" customWidth="1"/>
    <col min="9934" max="10182" width="9" style="1"/>
    <col min="10183" max="10183" width="1.19921875" style="1" customWidth="1"/>
    <col min="10184" max="10184" width="70.59765625" style="1" customWidth="1"/>
    <col min="10185" max="10189" width="10.59765625" style="1" customWidth="1"/>
    <col min="10190" max="10438" width="9" style="1"/>
    <col min="10439" max="10439" width="1.19921875" style="1" customWidth="1"/>
    <col min="10440" max="10440" width="70.59765625" style="1" customWidth="1"/>
    <col min="10441" max="10445" width="10.59765625" style="1" customWidth="1"/>
    <col min="10446" max="10694" width="9" style="1"/>
    <col min="10695" max="10695" width="1.19921875" style="1" customWidth="1"/>
    <col min="10696" max="10696" width="70.59765625" style="1" customWidth="1"/>
    <col min="10697" max="10701" width="10.59765625" style="1" customWidth="1"/>
    <col min="10702" max="10950" width="9" style="1"/>
    <col min="10951" max="10951" width="1.19921875" style="1" customWidth="1"/>
    <col min="10952" max="10952" width="70.59765625" style="1" customWidth="1"/>
    <col min="10953" max="10957" width="10.59765625" style="1" customWidth="1"/>
    <col min="10958" max="11206" width="9" style="1"/>
    <col min="11207" max="11207" width="1.19921875" style="1" customWidth="1"/>
    <col min="11208" max="11208" width="70.59765625" style="1" customWidth="1"/>
    <col min="11209" max="11213" width="10.59765625" style="1" customWidth="1"/>
    <col min="11214" max="11462" width="9" style="1"/>
    <col min="11463" max="11463" width="1.19921875" style="1" customWidth="1"/>
    <col min="11464" max="11464" width="70.59765625" style="1" customWidth="1"/>
    <col min="11465" max="11469" width="10.59765625" style="1" customWidth="1"/>
    <col min="11470" max="11718" width="9" style="1"/>
    <col min="11719" max="11719" width="1.19921875" style="1" customWidth="1"/>
    <col min="11720" max="11720" width="70.59765625" style="1" customWidth="1"/>
    <col min="11721" max="11725" width="10.59765625" style="1" customWidth="1"/>
    <col min="11726" max="11974" width="9" style="1"/>
    <col min="11975" max="11975" width="1.19921875" style="1" customWidth="1"/>
    <col min="11976" max="11976" width="70.59765625" style="1" customWidth="1"/>
    <col min="11977" max="11981" width="10.59765625" style="1" customWidth="1"/>
    <col min="11982" max="12230" width="9" style="1"/>
    <col min="12231" max="12231" width="1.19921875" style="1" customWidth="1"/>
    <col min="12232" max="12232" width="70.59765625" style="1" customWidth="1"/>
    <col min="12233" max="12237" width="10.59765625" style="1" customWidth="1"/>
    <col min="12238" max="12486" width="9" style="1"/>
    <col min="12487" max="12487" width="1.19921875" style="1" customWidth="1"/>
    <col min="12488" max="12488" width="70.59765625" style="1" customWidth="1"/>
    <col min="12489" max="12493" width="10.59765625" style="1" customWidth="1"/>
    <col min="12494" max="12742" width="9" style="1"/>
    <col min="12743" max="12743" width="1.19921875" style="1" customWidth="1"/>
    <col min="12744" max="12744" width="70.59765625" style="1" customWidth="1"/>
    <col min="12745" max="12749" width="10.59765625" style="1" customWidth="1"/>
    <col min="12750" max="12998" width="9" style="1"/>
    <col min="12999" max="12999" width="1.19921875" style="1" customWidth="1"/>
    <col min="13000" max="13000" width="70.59765625" style="1" customWidth="1"/>
    <col min="13001" max="13005" width="10.59765625" style="1" customWidth="1"/>
    <col min="13006" max="13254" width="9" style="1"/>
    <col min="13255" max="13255" width="1.19921875" style="1" customWidth="1"/>
    <col min="13256" max="13256" width="70.59765625" style="1" customWidth="1"/>
    <col min="13257" max="13261" width="10.59765625" style="1" customWidth="1"/>
    <col min="13262" max="13510" width="9" style="1"/>
    <col min="13511" max="13511" width="1.19921875" style="1" customWidth="1"/>
    <col min="13512" max="13512" width="70.59765625" style="1" customWidth="1"/>
    <col min="13513" max="13517" width="10.59765625" style="1" customWidth="1"/>
    <col min="13518" max="13766" width="9" style="1"/>
    <col min="13767" max="13767" width="1.19921875" style="1" customWidth="1"/>
    <col min="13768" max="13768" width="70.59765625" style="1" customWidth="1"/>
    <col min="13769" max="13773" width="10.59765625" style="1" customWidth="1"/>
    <col min="13774" max="14022" width="9" style="1"/>
    <col min="14023" max="14023" width="1.19921875" style="1" customWidth="1"/>
    <col min="14024" max="14024" width="70.59765625" style="1" customWidth="1"/>
    <col min="14025" max="14029" width="10.59765625" style="1" customWidth="1"/>
    <col min="14030" max="14278" width="9" style="1"/>
    <col min="14279" max="14279" width="1.19921875" style="1" customWidth="1"/>
    <col min="14280" max="14280" width="70.59765625" style="1" customWidth="1"/>
    <col min="14281" max="14285" width="10.59765625" style="1" customWidth="1"/>
    <col min="14286" max="14534" width="9" style="1"/>
    <col min="14535" max="14535" width="1.19921875" style="1" customWidth="1"/>
    <col min="14536" max="14536" width="70.59765625" style="1" customWidth="1"/>
    <col min="14537" max="14541" width="10.59765625" style="1" customWidth="1"/>
    <col min="14542" max="14790" width="9" style="1"/>
    <col min="14791" max="14791" width="1.19921875" style="1" customWidth="1"/>
    <col min="14792" max="14792" width="70.59765625" style="1" customWidth="1"/>
    <col min="14793" max="14797" width="10.59765625" style="1" customWidth="1"/>
    <col min="14798" max="15046" width="9" style="1"/>
    <col min="15047" max="15047" width="1.19921875" style="1" customWidth="1"/>
    <col min="15048" max="15048" width="70.59765625" style="1" customWidth="1"/>
    <col min="15049" max="15053" width="10.59765625" style="1" customWidth="1"/>
    <col min="15054" max="15302" width="9" style="1"/>
    <col min="15303" max="15303" width="1.19921875" style="1" customWidth="1"/>
    <col min="15304" max="15304" width="70.59765625" style="1" customWidth="1"/>
    <col min="15305" max="15309" width="10.59765625" style="1" customWidth="1"/>
    <col min="15310" max="15558" width="9" style="1"/>
    <col min="15559" max="15559" width="1.19921875" style="1" customWidth="1"/>
    <col min="15560" max="15560" width="70.59765625" style="1" customWidth="1"/>
    <col min="15561" max="15565" width="10.59765625" style="1" customWidth="1"/>
    <col min="15566" max="16384" width="9" style="1"/>
  </cols>
  <sheetData>
    <row r="1" spans="1:16" ht="13.8" x14ac:dyDescent="0.25">
      <c r="A1" s="11" t="s">
        <v>10</v>
      </c>
      <c r="B1" s="61"/>
      <c r="C1" s="61"/>
      <c r="D1" s="37"/>
      <c r="G1" s="37"/>
    </row>
    <row r="2" spans="1:16" x14ac:dyDescent="0.25">
      <c r="A2" s="61"/>
      <c r="B2" s="61"/>
      <c r="C2" s="61"/>
    </row>
    <row r="3" spans="1:16" ht="13.8" x14ac:dyDescent="0.25">
      <c r="A3" s="11" t="s">
        <v>821</v>
      </c>
      <c r="B3" s="11"/>
      <c r="C3" s="11"/>
    </row>
    <row r="4" spans="1:16" ht="13.5" customHeight="1" x14ac:dyDescent="0.25">
      <c r="A4" s="11"/>
      <c r="B4" s="11"/>
    </row>
    <row r="5" spans="1:16" ht="87.45" customHeight="1" x14ac:dyDescent="0.25">
      <c r="A5" s="673" t="s">
        <v>822</v>
      </c>
      <c r="B5" s="673"/>
      <c r="C5" s="673"/>
      <c r="D5" s="339"/>
    </row>
    <row r="6" spans="1:16" ht="15" customHeight="1" thickBot="1" x14ac:dyDescent="0.3">
      <c r="A6" s="83"/>
      <c r="B6" s="83"/>
      <c r="C6" s="83"/>
      <c r="D6" s="83"/>
    </row>
    <row r="7" spans="1:16" ht="40.5" customHeight="1" thickBot="1" x14ac:dyDescent="0.3">
      <c r="A7" s="96"/>
      <c r="B7" s="119" t="s">
        <v>95</v>
      </c>
      <c r="C7" s="119" t="s">
        <v>96</v>
      </c>
      <c r="D7" s="119" t="s">
        <v>97</v>
      </c>
      <c r="E7" s="62"/>
      <c r="F7" s="62"/>
      <c r="P7" s="38"/>
    </row>
    <row r="8" spans="1:16" x14ac:dyDescent="0.25">
      <c r="A8" s="352"/>
      <c r="B8" s="352"/>
      <c r="F8" s="38"/>
      <c r="P8" s="38"/>
    </row>
    <row r="9" spans="1:16" ht="15" customHeight="1" x14ac:dyDescent="0.25">
      <c r="A9" s="8" t="s">
        <v>98</v>
      </c>
      <c r="B9" s="395" t="s">
        <v>861</v>
      </c>
      <c r="C9" s="394"/>
      <c r="D9" s="507"/>
      <c r="E9" s="64"/>
      <c r="P9" s="38"/>
    </row>
    <row r="10" spans="1:16" ht="15" customHeight="1" x14ac:dyDescent="0.25">
      <c r="A10" s="352"/>
      <c r="B10" s="508"/>
      <c r="C10" s="50"/>
      <c r="D10" s="507"/>
      <c r="E10" s="64"/>
      <c r="P10" s="38"/>
    </row>
    <row r="11" spans="1:16" ht="15" customHeight="1" x14ac:dyDescent="0.25">
      <c r="A11" s="351" t="s">
        <v>99</v>
      </c>
      <c r="B11" s="505" t="s">
        <v>862</v>
      </c>
      <c r="C11" s="394"/>
      <c r="D11" s="507"/>
      <c r="E11" s="64"/>
      <c r="L11" s="38"/>
      <c r="P11" s="38"/>
    </row>
    <row r="12" spans="1:16" ht="15" customHeight="1" x14ac:dyDescent="0.25">
      <c r="A12" s="351"/>
      <c r="B12" s="505"/>
      <c r="C12" s="50"/>
      <c r="D12" s="507"/>
      <c r="E12" s="64"/>
      <c r="F12" s="38"/>
      <c r="L12" s="38"/>
      <c r="P12" s="38"/>
    </row>
    <row r="13" spans="1:16" ht="15" customHeight="1" x14ac:dyDescent="0.25">
      <c r="A13" s="173" t="s">
        <v>100</v>
      </c>
      <c r="B13" s="508" t="s">
        <v>863</v>
      </c>
      <c r="C13" s="323"/>
      <c r="D13" s="503"/>
      <c r="E13" s="64"/>
      <c r="P13" s="38"/>
    </row>
    <row r="14" spans="1:16" ht="15" customHeight="1" x14ac:dyDescent="0.25">
      <c r="A14" s="27" t="s">
        <v>101</v>
      </c>
      <c r="B14" s="47"/>
      <c r="C14" s="504"/>
      <c r="D14" s="503"/>
      <c r="E14" s="64"/>
      <c r="F14" s="343"/>
      <c r="L14" s="77"/>
      <c r="P14" s="38"/>
    </row>
    <row r="15" spans="1:16" ht="15" customHeight="1" x14ac:dyDescent="0.25">
      <c r="A15" s="27" t="s">
        <v>102</v>
      </c>
      <c r="B15" s="396"/>
      <c r="C15" s="504"/>
      <c r="D15" s="503"/>
      <c r="E15" s="64"/>
      <c r="F15" s="343"/>
      <c r="L15" s="77"/>
      <c r="P15" s="38"/>
    </row>
    <row r="16" spans="1:16" ht="15" customHeight="1" x14ac:dyDescent="0.25">
      <c r="A16" s="25"/>
      <c r="B16" s="506"/>
      <c r="C16" s="504"/>
      <c r="D16" s="503"/>
      <c r="E16" s="64"/>
      <c r="F16" s="343"/>
      <c r="L16" s="77"/>
      <c r="P16" s="38"/>
    </row>
    <row r="17" spans="1:16" ht="15" customHeight="1" x14ac:dyDescent="0.25">
      <c r="A17" s="173" t="s">
        <v>103</v>
      </c>
      <c r="B17" s="508" t="s">
        <v>864</v>
      </c>
      <c r="C17" s="323"/>
      <c r="D17" s="503"/>
      <c r="E17" s="64"/>
      <c r="F17" s="343"/>
      <c r="P17" s="38"/>
    </row>
    <row r="18" spans="1:16" ht="15" customHeight="1" x14ac:dyDescent="0.25">
      <c r="A18" s="27" t="s">
        <v>104</v>
      </c>
      <c r="B18" s="47"/>
      <c r="C18" s="504"/>
      <c r="D18" s="503"/>
      <c r="E18" s="64"/>
      <c r="F18" s="343"/>
      <c r="I18" s="54"/>
      <c r="P18" s="38"/>
    </row>
    <row r="19" spans="1:16" ht="15" customHeight="1" x14ac:dyDescent="0.25">
      <c r="A19" s="27" t="s">
        <v>105</v>
      </c>
      <c r="B19" s="396"/>
      <c r="C19" s="504"/>
      <c r="D19" s="503"/>
      <c r="E19" s="64"/>
      <c r="F19" s="343"/>
      <c r="L19" s="38"/>
      <c r="P19" s="38"/>
    </row>
    <row r="20" spans="1:16" ht="15" customHeight="1" x14ac:dyDescent="0.25">
      <c r="A20" s="27" t="s">
        <v>106</v>
      </c>
      <c r="B20" s="396"/>
      <c r="C20" s="504"/>
      <c r="D20" s="503"/>
      <c r="E20" s="64"/>
      <c r="F20" s="343"/>
      <c r="L20" s="38"/>
    </row>
    <row r="21" spans="1:16" ht="15" customHeight="1" x14ac:dyDescent="0.25">
      <c r="A21" s="27" t="s">
        <v>107</v>
      </c>
      <c r="B21" s="396"/>
      <c r="C21" s="504"/>
      <c r="D21" s="503"/>
      <c r="E21" s="64"/>
      <c r="F21" s="343"/>
      <c r="I21" s="38"/>
      <c r="L21" s="38"/>
    </row>
    <row r="22" spans="1:16" ht="15" customHeight="1" x14ac:dyDescent="0.25">
      <c r="A22" s="25"/>
      <c r="B22" s="508"/>
      <c r="C22" s="50"/>
      <c r="D22" s="503"/>
      <c r="E22" s="64"/>
      <c r="F22" s="343"/>
      <c r="I22" s="38"/>
      <c r="L22" s="38"/>
    </row>
    <row r="23" spans="1:16" ht="15" customHeight="1" x14ac:dyDescent="0.25">
      <c r="A23" s="351" t="s">
        <v>108</v>
      </c>
      <c r="B23" s="53" t="s">
        <v>865</v>
      </c>
      <c r="C23" s="394"/>
      <c r="D23" s="507"/>
      <c r="E23" s="64"/>
      <c r="F23" s="343"/>
      <c r="H23" s="54"/>
      <c r="L23" s="38"/>
    </row>
    <row r="24" spans="1:16" ht="15" customHeight="1" x14ac:dyDescent="0.25">
      <c r="A24" s="122" t="s">
        <v>109</v>
      </c>
      <c r="B24" s="47"/>
      <c r="C24" s="504"/>
      <c r="D24" s="503"/>
      <c r="E24" s="64"/>
      <c r="F24" s="343"/>
      <c r="L24" s="38"/>
    </row>
    <row r="25" spans="1:16" ht="15" customHeight="1" x14ac:dyDescent="0.25">
      <c r="A25" s="122" t="s">
        <v>110</v>
      </c>
      <c r="B25" s="396"/>
      <c r="C25" s="504"/>
      <c r="D25" s="503"/>
      <c r="E25" s="64"/>
      <c r="F25" s="343"/>
      <c r="M25" s="38"/>
      <c r="N25" s="38"/>
      <c r="O25" s="38"/>
    </row>
    <row r="26" spans="1:16" ht="15" customHeight="1" x14ac:dyDescent="0.25">
      <c r="A26" s="122" t="s">
        <v>952</v>
      </c>
      <c r="B26" s="396"/>
      <c r="C26" s="648"/>
      <c r="D26" s="89"/>
      <c r="E26" s="64"/>
      <c r="F26" s="343"/>
      <c r="M26" s="38"/>
      <c r="N26" s="38"/>
      <c r="O26" s="38"/>
    </row>
    <row r="27" spans="1:16" ht="15" customHeight="1" x14ac:dyDescent="0.25">
      <c r="A27" s="122" t="s">
        <v>953</v>
      </c>
      <c r="B27" s="396"/>
      <c r="C27" s="648"/>
      <c r="D27" s="89"/>
      <c r="E27" s="64"/>
      <c r="F27" s="343"/>
      <c r="M27" s="38"/>
      <c r="N27" s="38"/>
      <c r="O27" s="38"/>
    </row>
    <row r="28" spans="1:16" ht="15" customHeight="1" x14ac:dyDescent="0.25">
      <c r="A28" s="122" t="s">
        <v>954</v>
      </c>
      <c r="B28" s="396"/>
      <c r="C28" s="648"/>
      <c r="D28" s="89"/>
      <c r="E28" s="64"/>
      <c r="F28" s="343"/>
      <c r="M28" s="38"/>
      <c r="N28" s="38"/>
      <c r="O28" s="38"/>
    </row>
    <row r="29" spans="1:16" ht="13.8" thickBot="1" x14ac:dyDescent="0.3">
      <c r="A29" s="95"/>
      <c r="B29" s="95"/>
      <c r="C29" s="83"/>
      <c r="D29" s="83"/>
    </row>
    <row r="30" spans="1:16" x14ac:dyDescent="0.25">
      <c r="A30" s="8"/>
      <c r="B30" s="8"/>
    </row>
    <row r="31" spans="1:16" ht="25.5" customHeight="1" x14ac:dyDescent="0.25">
      <c r="A31" s="673" t="s">
        <v>823</v>
      </c>
      <c r="B31" s="673"/>
      <c r="C31" s="673"/>
      <c r="D31" s="673"/>
      <c r="E31" s="673"/>
    </row>
    <row r="32" spans="1:16" x14ac:dyDescent="0.25">
      <c r="A32" s="8"/>
      <c r="B32" s="75"/>
    </row>
    <row r="33" spans="1:33" ht="93.75" customHeight="1" x14ac:dyDescent="0.25">
      <c r="A33" s="673" t="s">
        <v>111</v>
      </c>
      <c r="B33" s="673"/>
      <c r="C33" s="673"/>
      <c r="D33" s="673"/>
      <c r="E33" s="673"/>
    </row>
    <row r="34" spans="1:33" x14ac:dyDescent="0.25">
      <c r="A34" s="352"/>
      <c r="B34" s="352"/>
    </row>
    <row r="35" spans="1:33" ht="27.75" customHeight="1" x14ac:dyDescent="0.25">
      <c r="A35" s="674" t="s">
        <v>93</v>
      </c>
      <c r="B35" s="674"/>
      <c r="C35" s="674"/>
      <c r="D35" s="674"/>
      <c r="E35" s="674"/>
      <c r="K35" s="38"/>
      <c r="L35" s="38"/>
      <c r="M35" s="38"/>
      <c r="N35" s="38"/>
      <c r="O35" s="38"/>
      <c r="P35" s="38"/>
      <c r="Q35" s="38"/>
      <c r="R35" s="38"/>
      <c r="S35" s="38"/>
      <c r="T35" s="38"/>
      <c r="U35" s="38"/>
      <c r="V35" s="38"/>
      <c r="W35" s="38"/>
      <c r="X35" s="38"/>
      <c r="Y35" s="38"/>
      <c r="Z35" s="38"/>
      <c r="AA35" s="38"/>
      <c r="AB35" s="38"/>
      <c r="AC35" s="38"/>
      <c r="AD35" s="38"/>
      <c r="AE35" s="38"/>
      <c r="AF35" s="38"/>
    </row>
    <row r="36" spans="1:33" ht="28.05" customHeight="1" x14ac:dyDescent="0.25">
      <c r="A36" s="673" t="s">
        <v>94</v>
      </c>
      <c r="B36" s="673"/>
      <c r="C36" s="673"/>
      <c r="D36" s="673"/>
      <c r="E36" s="673"/>
      <c r="L36" s="38"/>
      <c r="M36" s="38"/>
      <c r="N36" s="38"/>
      <c r="O36" s="38"/>
      <c r="P36" s="38"/>
      <c r="Q36" s="38"/>
      <c r="R36" s="38"/>
      <c r="S36" s="38"/>
      <c r="T36" s="38"/>
      <c r="U36" s="38"/>
      <c r="V36" s="38"/>
      <c r="W36" s="38"/>
      <c r="X36" s="38"/>
      <c r="Y36" s="38"/>
      <c r="Z36" s="38"/>
      <c r="AA36" s="38"/>
      <c r="AB36" s="38"/>
      <c r="AC36" s="38"/>
      <c r="AD36" s="38"/>
      <c r="AE36" s="38"/>
      <c r="AF36" s="38"/>
      <c r="AG36" s="38"/>
    </row>
    <row r="37" spans="1:33" hidden="1" x14ac:dyDescent="0.25">
      <c r="L37" s="38"/>
    </row>
    <row r="39" spans="1:33" x14ac:dyDescent="0.25">
      <c r="L39" s="38"/>
      <c r="M39" s="38"/>
      <c r="N39" s="38"/>
    </row>
    <row r="42" spans="1:33" x14ac:dyDescent="0.25">
      <c r="L42" s="38"/>
      <c r="M42" s="38"/>
      <c r="N42" s="38"/>
    </row>
    <row r="43" spans="1:33" x14ac:dyDescent="0.25">
      <c r="L43" s="38"/>
      <c r="M43" s="38"/>
      <c r="N43" s="38"/>
    </row>
    <row r="44" spans="1:33" x14ac:dyDescent="0.25">
      <c r="L44" s="38"/>
      <c r="M44" s="38"/>
      <c r="N44" s="38"/>
    </row>
    <row r="45" spans="1:33" x14ac:dyDescent="0.25">
      <c r="L45" s="38"/>
      <c r="M45" s="38"/>
      <c r="N45" s="38"/>
    </row>
    <row r="46" spans="1:33" ht="38.25" customHeight="1" x14ac:dyDescent="0.25">
      <c r="L46" s="38"/>
      <c r="M46" s="38"/>
      <c r="N46" s="38"/>
    </row>
    <row r="47" spans="1:33" ht="51" customHeight="1" x14ac:dyDescent="0.25">
      <c r="L47" s="38"/>
      <c r="M47" s="38"/>
      <c r="N47" s="38"/>
    </row>
    <row r="48" spans="1:33" x14ac:dyDescent="0.25">
      <c r="L48" s="38"/>
      <c r="M48" s="38"/>
      <c r="N48" s="38"/>
    </row>
    <row r="49" spans="12:14" x14ac:dyDescent="0.25">
      <c r="L49" s="38"/>
      <c r="M49" s="38"/>
      <c r="N49" s="38"/>
    </row>
    <row r="50" spans="12:14" x14ac:dyDescent="0.25">
      <c r="L50" s="38"/>
      <c r="M50" s="38"/>
      <c r="N50" s="38"/>
    </row>
    <row r="51" spans="12:14" x14ac:dyDescent="0.25">
      <c r="L51" s="38"/>
      <c r="M51" s="38"/>
      <c r="N51" s="38"/>
    </row>
    <row r="52" spans="12:14" x14ac:dyDescent="0.25">
      <c r="L52" s="38"/>
      <c r="M52" s="38"/>
      <c r="N52" s="38"/>
    </row>
    <row r="53" spans="12:14" x14ac:dyDescent="0.25">
      <c r="L53" s="38"/>
      <c r="M53" s="38"/>
      <c r="N53" s="38"/>
    </row>
    <row r="54" spans="12:14" x14ac:dyDescent="0.25">
      <c r="L54" s="38"/>
      <c r="M54" s="38"/>
      <c r="N54" s="38"/>
    </row>
    <row r="55" spans="12:14" x14ac:dyDescent="0.25">
      <c r="L55" s="38"/>
      <c r="M55" s="38"/>
      <c r="N55" s="38"/>
    </row>
    <row r="56" spans="12:14" x14ac:dyDescent="0.25">
      <c r="L56" s="38"/>
      <c r="M56" s="38"/>
      <c r="N56" s="38"/>
    </row>
    <row r="57" spans="12:14" x14ac:dyDescent="0.25">
      <c r="L57" s="38"/>
      <c r="M57" s="38"/>
      <c r="N57" s="38"/>
    </row>
    <row r="58" spans="12:14" x14ac:dyDescent="0.25">
      <c r="L58" s="38"/>
      <c r="M58" s="38"/>
      <c r="N58" s="38"/>
    </row>
    <row r="59" spans="12:14" x14ac:dyDescent="0.25">
      <c r="L59" s="38"/>
      <c r="M59" s="38"/>
      <c r="N59" s="38"/>
    </row>
    <row r="60" spans="12:14" x14ac:dyDescent="0.25">
      <c r="L60" s="38"/>
      <c r="M60" s="38"/>
      <c r="N60" s="38"/>
    </row>
  </sheetData>
  <mergeCells count="5">
    <mergeCell ref="A36:E36"/>
    <mergeCell ref="A33:E33"/>
    <mergeCell ref="A31:E31"/>
    <mergeCell ref="A5:C5"/>
    <mergeCell ref="A35:E35"/>
  </mergeCells>
  <pageMargins left="0.23622047244094491" right="0.23622047244094491" top="0.74803149606299213" bottom="0.74803149606299213" header="0.31496062992125984" footer="0.31496062992125984"/>
  <pageSetup paperSize="9" scale="65"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0"/>
  <sheetViews>
    <sheetView workbookViewId="0"/>
  </sheetViews>
  <sheetFormatPr defaultColWidth="9" defaultRowHeight="13.2" x14ac:dyDescent="0.25"/>
  <cols>
    <col min="1" max="1" width="56.69921875" style="1" customWidth="1"/>
    <col min="2" max="2" width="12.09765625" style="1" customWidth="1"/>
    <col min="3" max="3" width="12.796875" style="1" customWidth="1"/>
    <col min="4" max="4" width="15.19921875" style="1" customWidth="1"/>
    <col min="5" max="5" width="14.69921875" style="1" customWidth="1"/>
    <col min="6" max="6" width="17.19921875" style="1" customWidth="1"/>
    <col min="7" max="7" width="9.5" style="1" customWidth="1"/>
    <col min="8" max="8" width="9" style="1"/>
    <col min="9" max="9" width="23.09765625" style="1" bestFit="1" customWidth="1"/>
    <col min="10" max="10" width="9" style="1"/>
    <col min="11" max="11" width="13.09765625" style="1" customWidth="1"/>
    <col min="12" max="12" width="10.296875" style="1" customWidth="1"/>
    <col min="13" max="15" width="9" style="1"/>
    <col min="16" max="16" width="12.09765625" style="1" customWidth="1"/>
    <col min="17" max="18" width="9" style="1"/>
    <col min="19" max="19" width="10.796875" style="1" customWidth="1"/>
    <col min="20" max="198" width="9" style="1"/>
    <col min="199" max="199" width="1.19921875" style="1" customWidth="1"/>
    <col min="200" max="200" width="70.59765625" style="1" customWidth="1"/>
    <col min="201" max="205" width="10.59765625" style="1" customWidth="1"/>
    <col min="206" max="454" width="9" style="1"/>
    <col min="455" max="455" width="1.19921875" style="1" customWidth="1"/>
    <col min="456" max="456" width="70.59765625" style="1" customWidth="1"/>
    <col min="457" max="461" width="10.59765625" style="1" customWidth="1"/>
    <col min="462" max="710" width="9" style="1"/>
    <col min="711" max="711" width="1.19921875" style="1" customWidth="1"/>
    <col min="712" max="712" width="70.59765625" style="1" customWidth="1"/>
    <col min="713" max="717" width="10.59765625" style="1" customWidth="1"/>
    <col min="718" max="966" width="9" style="1"/>
    <col min="967" max="967" width="1.19921875" style="1" customWidth="1"/>
    <col min="968" max="968" width="70.59765625" style="1" customWidth="1"/>
    <col min="969" max="973" width="10.59765625" style="1" customWidth="1"/>
    <col min="974" max="1222" width="9" style="1"/>
    <col min="1223" max="1223" width="1.19921875" style="1" customWidth="1"/>
    <col min="1224" max="1224" width="70.59765625" style="1" customWidth="1"/>
    <col min="1225" max="1229" width="10.59765625" style="1" customWidth="1"/>
    <col min="1230" max="1478" width="9" style="1"/>
    <col min="1479" max="1479" width="1.19921875" style="1" customWidth="1"/>
    <col min="1480" max="1480" width="70.59765625" style="1" customWidth="1"/>
    <col min="1481" max="1485" width="10.59765625" style="1" customWidth="1"/>
    <col min="1486" max="1734" width="9" style="1"/>
    <col min="1735" max="1735" width="1.19921875" style="1" customWidth="1"/>
    <col min="1736" max="1736" width="70.59765625" style="1" customWidth="1"/>
    <col min="1737" max="1741" width="10.59765625" style="1" customWidth="1"/>
    <col min="1742" max="1990" width="9" style="1"/>
    <col min="1991" max="1991" width="1.19921875" style="1" customWidth="1"/>
    <col min="1992" max="1992" width="70.59765625" style="1" customWidth="1"/>
    <col min="1993" max="1997" width="10.59765625" style="1" customWidth="1"/>
    <col min="1998" max="2246" width="9" style="1"/>
    <col min="2247" max="2247" width="1.19921875" style="1" customWidth="1"/>
    <col min="2248" max="2248" width="70.59765625" style="1" customWidth="1"/>
    <col min="2249" max="2253" width="10.59765625" style="1" customWidth="1"/>
    <col min="2254" max="2502" width="9" style="1"/>
    <col min="2503" max="2503" width="1.19921875" style="1" customWidth="1"/>
    <col min="2504" max="2504" width="70.59765625" style="1" customWidth="1"/>
    <col min="2505" max="2509" width="10.59765625" style="1" customWidth="1"/>
    <col min="2510" max="2758" width="9" style="1"/>
    <col min="2759" max="2759" width="1.19921875" style="1" customWidth="1"/>
    <col min="2760" max="2760" width="70.59765625" style="1" customWidth="1"/>
    <col min="2761" max="2765" width="10.59765625" style="1" customWidth="1"/>
    <col min="2766" max="3014" width="9" style="1"/>
    <col min="3015" max="3015" width="1.19921875" style="1" customWidth="1"/>
    <col min="3016" max="3016" width="70.59765625" style="1" customWidth="1"/>
    <col min="3017" max="3021" width="10.59765625" style="1" customWidth="1"/>
    <col min="3022" max="3270" width="9" style="1"/>
    <col min="3271" max="3271" width="1.19921875" style="1" customWidth="1"/>
    <col min="3272" max="3272" width="70.59765625" style="1" customWidth="1"/>
    <col min="3273" max="3277" width="10.59765625" style="1" customWidth="1"/>
    <col min="3278" max="3526" width="9" style="1"/>
    <col min="3527" max="3527" width="1.19921875" style="1" customWidth="1"/>
    <col min="3528" max="3528" width="70.59765625" style="1" customWidth="1"/>
    <col min="3529" max="3533" width="10.59765625" style="1" customWidth="1"/>
    <col min="3534" max="3782" width="9" style="1"/>
    <col min="3783" max="3783" width="1.19921875" style="1" customWidth="1"/>
    <col min="3784" max="3784" width="70.59765625" style="1" customWidth="1"/>
    <col min="3785" max="3789" width="10.59765625" style="1" customWidth="1"/>
    <col min="3790" max="4038" width="9" style="1"/>
    <col min="4039" max="4039" width="1.19921875" style="1" customWidth="1"/>
    <col min="4040" max="4040" width="70.59765625" style="1" customWidth="1"/>
    <col min="4041" max="4045" width="10.59765625" style="1" customWidth="1"/>
    <col min="4046" max="4294" width="9" style="1"/>
    <col min="4295" max="4295" width="1.19921875" style="1" customWidth="1"/>
    <col min="4296" max="4296" width="70.59765625" style="1" customWidth="1"/>
    <col min="4297" max="4301" width="10.59765625" style="1" customWidth="1"/>
    <col min="4302" max="4550" width="9" style="1"/>
    <col min="4551" max="4551" width="1.19921875" style="1" customWidth="1"/>
    <col min="4552" max="4552" width="70.59765625" style="1" customWidth="1"/>
    <col min="4553" max="4557" width="10.59765625" style="1" customWidth="1"/>
    <col min="4558" max="4806" width="9" style="1"/>
    <col min="4807" max="4807" width="1.19921875" style="1" customWidth="1"/>
    <col min="4808" max="4808" width="70.59765625" style="1" customWidth="1"/>
    <col min="4809" max="4813" width="10.59765625" style="1" customWidth="1"/>
    <col min="4814" max="5062" width="9" style="1"/>
    <col min="5063" max="5063" width="1.19921875" style="1" customWidth="1"/>
    <col min="5064" max="5064" width="70.59765625" style="1" customWidth="1"/>
    <col min="5065" max="5069" width="10.59765625" style="1" customWidth="1"/>
    <col min="5070" max="5318" width="9" style="1"/>
    <col min="5319" max="5319" width="1.19921875" style="1" customWidth="1"/>
    <col min="5320" max="5320" width="70.59765625" style="1" customWidth="1"/>
    <col min="5321" max="5325" width="10.59765625" style="1" customWidth="1"/>
    <col min="5326" max="5574" width="9" style="1"/>
    <col min="5575" max="5575" width="1.19921875" style="1" customWidth="1"/>
    <col min="5576" max="5576" width="70.59765625" style="1" customWidth="1"/>
    <col min="5577" max="5581" width="10.59765625" style="1" customWidth="1"/>
    <col min="5582" max="5830" width="9" style="1"/>
    <col min="5831" max="5831" width="1.19921875" style="1" customWidth="1"/>
    <col min="5832" max="5832" width="70.59765625" style="1" customWidth="1"/>
    <col min="5833" max="5837" width="10.59765625" style="1" customWidth="1"/>
    <col min="5838" max="6086" width="9" style="1"/>
    <col min="6087" max="6087" width="1.19921875" style="1" customWidth="1"/>
    <col min="6088" max="6088" width="70.59765625" style="1" customWidth="1"/>
    <col min="6089" max="6093" width="10.59765625" style="1" customWidth="1"/>
    <col min="6094" max="6342" width="9" style="1"/>
    <col min="6343" max="6343" width="1.19921875" style="1" customWidth="1"/>
    <col min="6344" max="6344" width="70.59765625" style="1" customWidth="1"/>
    <col min="6345" max="6349" width="10.59765625" style="1" customWidth="1"/>
    <col min="6350" max="6598" width="9" style="1"/>
    <col min="6599" max="6599" width="1.19921875" style="1" customWidth="1"/>
    <col min="6600" max="6600" width="70.59765625" style="1" customWidth="1"/>
    <col min="6601" max="6605" width="10.59765625" style="1" customWidth="1"/>
    <col min="6606" max="6854" width="9" style="1"/>
    <col min="6855" max="6855" width="1.19921875" style="1" customWidth="1"/>
    <col min="6856" max="6856" width="70.59765625" style="1" customWidth="1"/>
    <col min="6857" max="6861" width="10.59765625" style="1" customWidth="1"/>
    <col min="6862" max="7110" width="9" style="1"/>
    <col min="7111" max="7111" width="1.19921875" style="1" customWidth="1"/>
    <col min="7112" max="7112" width="70.59765625" style="1" customWidth="1"/>
    <col min="7113" max="7117" width="10.59765625" style="1" customWidth="1"/>
    <col min="7118" max="7366" width="9" style="1"/>
    <col min="7367" max="7367" width="1.19921875" style="1" customWidth="1"/>
    <col min="7368" max="7368" width="70.59765625" style="1" customWidth="1"/>
    <col min="7369" max="7373" width="10.59765625" style="1" customWidth="1"/>
    <col min="7374" max="7622" width="9" style="1"/>
    <col min="7623" max="7623" width="1.19921875" style="1" customWidth="1"/>
    <col min="7624" max="7624" width="70.59765625" style="1" customWidth="1"/>
    <col min="7625" max="7629" width="10.59765625" style="1" customWidth="1"/>
    <col min="7630" max="7878" width="9" style="1"/>
    <col min="7879" max="7879" width="1.19921875" style="1" customWidth="1"/>
    <col min="7880" max="7880" width="70.59765625" style="1" customWidth="1"/>
    <col min="7881" max="7885" width="10.59765625" style="1" customWidth="1"/>
    <col min="7886" max="8134" width="9" style="1"/>
    <col min="8135" max="8135" width="1.19921875" style="1" customWidth="1"/>
    <col min="8136" max="8136" width="70.59765625" style="1" customWidth="1"/>
    <col min="8137" max="8141" width="10.59765625" style="1" customWidth="1"/>
    <col min="8142" max="8390" width="9" style="1"/>
    <col min="8391" max="8391" width="1.19921875" style="1" customWidth="1"/>
    <col min="8392" max="8392" width="70.59765625" style="1" customWidth="1"/>
    <col min="8393" max="8397" width="10.59765625" style="1" customWidth="1"/>
    <col min="8398" max="8646" width="9" style="1"/>
    <col min="8647" max="8647" width="1.19921875" style="1" customWidth="1"/>
    <col min="8648" max="8648" width="70.59765625" style="1" customWidth="1"/>
    <col min="8649" max="8653" width="10.59765625" style="1" customWidth="1"/>
    <col min="8654" max="8902" width="9" style="1"/>
    <col min="8903" max="8903" width="1.19921875" style="1" customWidth="1"/>
    <col min="8904" max="8904" width="70.59765625" style="1" customWidth="1"/>
    <col min="8905" max="8909" width="10.59765625" style="1" customWidth="1"/>
    <col min="8910" max="9158" width="9" style="1"/>
    <col min="9159" max="9159" width="1.19921875" style="1" customWidth="1"/>
    <col min="9160" max="9160" width="70.59765625" style="1" customWidth="1"/>
    <col min="9161" max="9165" width="10.59765625" style="1" customWidth="1"/>
    <col min="9166" max="9414" width="9" style="1"/>
    <col min="9415" max="9415" width="1.19921875" style="1" customWidth="1"/>
    <col min="9416" max="9416" width="70.59765625" style="1" customWidth="1"/>
    <col min="9417" max="9421" width="10.59765625" style="1" customWidth="1"/>
    <col min="9422" max="9670" width="9" style="1"/>
    <col min="9671" max="9671" width="1.19921875" style="1" customWidth="1"/>
    <col min="9672" max="9672" width="70.59765625" style="1" customWidth="1"/>
    <col min="9673" max="9677" width="10.59765625" style="1" customWidth="1"/>
    <col min="9678" max="9926" width="9" style="1"/>
    <col min="9927" max="9927" width="1.19921875" style="1" customWidth="1"/>
    <col min="9928" max="9928" width="70.59765625" style="1" customWidth="1"/>
    <col min="9929" max="9933" width="10.59765625" style="1" customWidth="1"/>
    <col min="9934" max="10182" width="9" style="1"/>
    <col min="10183" max="10183" width="1.19921875" style="1" customWidth="1"/>
    <col min="10184" max="10184" width="70.59765625" style="1" customWidth="1"/>
    <col min="10185" max="10189" width="10.59765625" style="1" customWidth="1"/>
    <col min="10190" max="10438" width="9" style="1"/>
    <col min="10439" max="10439" width="1.19921875" style="1" customWidth="1"/>
    <col min="10440" max="10440" width="70.59765625" style="1" customWidth="1"/>
    <col min="10441" max="10445" width="10.59765625" style="1" customWidth="1"/>
    <col min="10446" max="10694" width="9" style="1"/>
    <col min="10695" max="10695" width="1.19921875" style="1" customWidth="1"/>
    <col min="10696" max="10696" width="70.59765625" style="1" customWidth="1"/>
    <col min="10697" max="10701" width="10.59765625" style="1" customWidth="1"/>
    <col min="10702" max="10950" width="9" style="1"/>
    <col min="10951" max="10951" width="1.19921875" style="1" customWidth="1"/>
    <col min="10952" max="10952" width="70.59765625" style="1" customWidth="1"/>
    <col min="10953" max="10957" width="10.59765625" style="1" customWidth="1"/>
    <col min="10958" max="11206" width="9" style="1"/>
    <col min="11207" max="11207" width="1.19921875" style="1" customWidth="1"/>
    <col min="11208" max="11208" width="70.59765625" style="1" customWidth="1"/>
    <col min="11209" max="11213" width="10.59765625" style="1" customWidth="1"/>
    <col min="11214" max="11462" width="9" style="1"/>
    <col min="11463" max="11463" width="1.19921875" style="1" customWidth="1"/>
    <col min="11464" max="11464" width="70.59765625" style="1" customWidth="1"/>
    <col min="11465" max="11469" width="10.59765625" style="1" customWidth="1"/>
    <col min="11470" max="11718" width="9" style="1"/>
    <col min="11719" max="11719" width="1.19921875" style="1" customWidth="1"/>
    <col min="11720" max="11720" width="70.59765625" style="1" customWidth="1"/>
    <col min="11721" max="11725" width="10.59765625" style="1" customWidth="1"/>
    <col min="11726" max="11974" width="9" style="1"/>
    <col min="11975" max="11975" width="1.19921875" style="1" customWidth="1"/>
    <col min="11976" max="11976" width="70.59765625" style="1" customWidth="1"/>
    <col min="11977" max="11981" width="10.59765625" style="1" customWidth="1"/>
    <col min="11982" max="12230" width="9" style="1"/>
    <col min="12231" max="12231" width="1.19921875" style="1" customWidth="1"/>
    <col min="12232" max="12232" width="70.59765625" style="1" customWidth="1"/>
    <col min="12233" max="12237" width="10.59765625" style="1" customWidth="1"/>
    <col min="12238" max="12486" width="9" style="1"/>
    <col min="12487" max="12487" width="1.19921875" style="1" customWidth="1"/>
    <col min="12488" max="12488" width="70.59765625" style="1" customWidth="1"/>
    <col min="12489" max="12493" width="10.59765625" style="1" customWidth="1"/>
    <col min="12494" max="12742" width="9" style="1"/>
    <col min="12743" max="12743" width="1.19921875" style="1" customWidth="1"/>
    <col min="12744" max="12744" width="70.59765625" style="1" customWidth="1"/>
    <col min="12745" max="12749" width="10.59765625" style="1" customWidth="1"/>
    <col min="12750" max="12998" width="9" style="1"/>
    <col min="12999" max="12999" width="1.19921875" style="1" customWidth="1"/>
    <col min="13000" max="13000" width="70.59765625" style="1" customWidth="1"/>
    <col min="13001" max="13005" width="10.59765625" style="1" customWidth="1"/>
    <col min="13006" max="13254" width="9" style="1"/>
    <col min="13255" max="13255" width="1.19921875" style="1" customWidth="1"/>
    <col min="13256" max="13256" width="70.59765625" style="1" customWidth="1"/>
    <col min="13257" max="13261" width="10.59765625" style="1" customWidth="1"/>
    <col min="13262" max="13510" width="9" style="1"/>
    <col min="13511" max="13511" width="1.19921875" style="1" customWidth="1"/>
    <col min="13512" max="13512" width="70.59765625" style="1" customWidth="1"/>
    <col min="13513" max="13517" width="10.59765625" style="1" customWidth="1"/>
    <col min="13518" max="13766" width="9" style="1"/>
    <col min="13767" max="13767" width="1.19921875" style="1" customWidth="1"/>
    <col min="13768" max="13768" width="70.59765625" style="1" customWidth="1"/>
    <col min="13769" max="13773" width="10.59765625" style="1" customWidth="1"/>
    <col min="13774" max="14022" width="9" style="1"/>
    <col min="14023" max="14023" width="1.19921875" style="1" customWidth="1"/>
    <col min="14024" max="14024" width="70.59765625" style="1" customWidth="1"/>
    <col min="14025" max="14029" width="10.59765625" style="1" customWidth="1"/>
    <col min="14030" max="14278" width="9" style="1"/>
    <col min="14279" max="14279" width="1.19921875" style="1" customWidth="1"/>
    <col min="14280" max="14280" width="70.59765625" style="1" customWidth="1"/>
    <col min="14281" max="14285" width="10.59765625" style="1" customWidth="1"/>
    <col min="14286" max="14534" width="9" style="1"/>
    <col min="14535" max="14535" width="1.19921875" style="1" customWidth="1"/>
    <col min="14536" max="14536" width="70.59765625" style="1" customWidth="1"/>
    <col min="14537" max="14541" width="10.59765625" style="1" customWidth="1"/>
    <col min="14542" max="14790" width="9" style="1"/>
    <col min="14791" max="14791" width="1.19921875" style="1" customWidth="1"/>
    <col min="14792" max="14792" width="70.59765625" style="1" customWidth="1"/>
    <col min="14793" max="14797" width="10.59765625" style="1" customWidth="1"/>
    <col min="14798" max="15046" width="9" style="1"/>
    <col min="15047" max="15047" width="1.19921875" style="1" customWidth="1"/>
    <col min="15048" max="15048" width="70.59765625" style="1" customWidth="1"/>
    <col min="15049" max="15053" width="10.59765625" style="1" customWidth="1"/>
    <col min="15054" max="15302" width="9" style="1"/>
    <col min="15303" max="15303" width="1.19921875" style="1" customWidth="1"/>
    <col min="15304" max="15304" width="70.59765625" style="1" customWidth="1"/>
    <col min="15305" max="15309" width="10.59765625" style="1" customWidth="1"/>
    <col min="15310" max="15558" width="9" style="1"/>
    <col min="15559" max="15559" width="1.19921875" style="1" customWidth="1"/>
    <col min="15560" max="15560" width="70.59765625" style="1" customWidth="1"/>
    <col min="15561" max="15565" width="10.59765625" style="1" customWidth="1"/>
    <col min="15566" max="16384" width="9" style="1"/>
  </cols>
  <sheetData>
    <row r="1" spans="1:19" ht="13.8" x14ac:dyDescent="0.25">
      <c r="A1" s="11" t="s">
        <v>11</v>
      </c>
      <c r="B1" s="61"/>
      <c r="C1" s="61"/>
      <c r="D1" s="37"/>
      <c r="G1" s="37"/>
    </row>
    <row r="2" spans="1:19" x14ac:dyDescent="0.25">
      <c r="A2" s="61"/>
      <c r="B2" s="61"/>
      <c r="C2" s="61"/>
    </row>
    <row r="3" spans="1:19" ht="13.8" x14ac:dyDescent="0.25">
      <c r="A3" s="11" t="s">
        <v>824</v>
      </c>
      <c r="B3" s="11"/>
      <c r="C3" s="11"/>
    </row>
    <row r="4" spans="1:19" ht="13.5" customHeight="1" x14ac:dyDescent="0.25">
      <c r="A4" s="11"/>
      <c r="B4" s="11"/>
    </row>
    <row r="5" spans="1:19" ht="78.75" customHeight="1" x14ac:dyDescent="0.25">
      <c r="A5" s="673" t="s">
        <v>825</v>
      </c>
      <c r="B5" s="673"/>
      <c r="C5" s="673"/>
      <c r="D5" s="673"/>
      <c r="E5" s="673"/>
      <c r="F5" s="673"/>
      <c r="G5" s="673"/>
    </row>
    <row r="6" spans="1:19" ht="155.25" customHeight="1" x14ac:dyDescent="0.25">
      <c r="A6" s="673" t="s">
        <v>112</v>
      </c>
      <c r="B6" s="673"/>
      <c r="C6" s="673"/>
      <c r="D6" s="673"/>
      <c r="E6" s="673"/>
      <c r="F6" s="673"/>
      <c r="G6" s="673"/>
    </row>
    <row r="7" spans="1:19" ht="15" customHeight="1" thickBot="1" x14ac:dyDescent="0.3">
      <c r="A7" s="83"/>
      <c r="B7" s="83"/>
      <c r="C7" s="83"/>
      <c r="D7" s="83"/>
      <c r="E7" s="83"/>
      <c r="F7" s="83"/>
    </row>
    <row r="8" spans="1:19" ht="40.5" customHeight="1" thickBot="1" x14ac:dyDescent="0.3">
      <c r="A8" s="96"/>
      <c r="B8" s="119" t="s">
        <v>95</v>
      </c>
      <c r="C8" s="119" t="s">
        <v>96</v>
      </c>
      <c r="D8" s="119" t="s">
        <v>97</v>
      </c>
      <c r="E8" s="119" t="s">
        <v>113</v>
      </c>
      <c r="F8" s="119" t="s">
        <v>114</v>
      </c>
      <c r="P8" s="38"/>
    </row>
    <row r="9" spans="1:19" x14ac:dyDescent="0.25">
      <c r="A9" s="352"/>
      <c r="B9" s="63"/>
      <c r="P9" s="38"/>
    </row>
    <row r="10" spans="1:19" ht="15" customHeight="1" x14ac:dyDescent="0.25">
      <c r="A10" s="8" t="s">
        <v>98</v>
      </c>
      <c r="B10" s="509" t="s">
        <v>866</v>
      </c>
      <c r="C10" s="53"/>
      <c r="D10" s="102"/>
      <c r="E10" s="649"/>
      <c r="F10" s="649"/>
      <c r="P10" s="38"/>
    </row>
    <row r="11" spans="1:19" ht="15" customHeight="1" x14ac:dyDescent="0.25">
      <c r="A11" s="352"/>
      <c r="B11" s="510"/>
      <c r="C11" s="47"/>
      <c r="D11" s="86"/>
      <c r="E11" s="540"/>
      <c r="F11" s="540"/>
      <c r="L11" s="54"/>
      <c r="M11" s="54"/>
      <c r="N11" s="54"/>
      <c r="P11" s="38"/>
    </row>
    <row r="12" spans="1:19" ht="15" customHeight="1" x14ac:dyDescent="0.25">
      <c r="A12" s="8" t="s">
        <v>115</v>
      </c>
      <c r="B12" s="511" t="s">
        <v>867</v>
      </c>
      <c r="C12" s="53"/>
      <c r="D12" s="102"/>
      <c r="E12" s="649"/>
      <c r="F12" s="649"/>
      <c r="H12" s="319"/>
      <c r="L12" s="54"/>
      <c r="M12" s="54"/>
      <c r="N12" s="54"/>
      <c r="P12" s="38"/>
    </row>
    <row r="13" spans="1:19" ht="15" customHeight="1" x14ac:dyDescent="0.25">
      <c r="A13" s="352"/>
      <c r="B13" s="177"/>
      <c r="C13" s="47"/>
      <c r="D13" s="86"/>
      <c r="E13" s="86"/>
      <c r="F13" s="86"/>
      <c r="H13" s="319"/>
      <c r="L13" s="54"/>
      <c r="M13" s="54"/>
      <c r="N13" s="54"/>
      <c r="P13" s="38"/>
    </row>
    <row r="14" spans="1:19" ht="15" customHeight="1" x14ac:dyDescent="0.25">
      <c r="A14" s="8" t="s">
        <v>116</v>
      </c>
      <c r="B14" s="177"/>
      <c r="C14" s="47"/>
      <c r="D14" s="86"/>
      <c r="E14" s="86"/>
      <c r="F14" s="86"/>
      <c r="H14" s="319"/>
      <c r="L14" s="54"/>
      <c r="M14" s="54"/>
      <c r="N14" s="54"/>
      <c r="P14" s="38"/>
      <c r="R14" s="66"/>
      <c r="S14" s="38"/>
    </row>
    <row r="15" spans="1:19" ht="15" customHeight="1" x14ac:dyDescent="0.25">
      <c r="A15" s="120" t="s">
        <v>117</v>
      </c>
      <c r="B15" s="509" t="s">
        <v>868</v>
      </c>
      <c r="C15" s="53"/>
      <c r="D15" s="102"/>
      <c r="E15" s="102"/>
      <c r="F15" s="102"/>
      <c r="H15" s="319"/>
      <c r="L15" s="54"/>
      <c r="M15" s="54"/>
      <c r="N15" s="54"/>
      <c r="P15" s="38"/>
      <c r="R15" s="68"/>
      <c r="S15" s="38"/>
    </row>
    <row r="16" spans="1:19" ht="15" customHeight="1" x14ac:dyDescent="0.25">
      <c r="A16" s="121" t="s">
        <v>118</v>
      </c>
      <c r="B16" s="512"/>
      <c r="C16" s="47"/>
      <c r="D16" s="86"/>
      <c r="E16" s="86"/>
      <c r="F16" s="86"/>
      <c r="H16" s="319"/>
      <c r="L16" s="54"/>
      <c r="M16" s="54"/>
      <c r="N16" s="54"/>
      <c r="P16" s="38"/>
      <c r="R16" s="68"/>
      <c r="S16" s="38"/>
    </row>
    <row r="17" spans="1:19" ht="15" customHeight="1" x14ac:dyDescent="0.25">
      <c r="A17" s="121" t="s">
        <v>119</v>
      </c>
      <c r="B17" s="512"/>
      <c r="C17" s="47"/>
      <c r="D17" s="86"/>
      <c r="E17" s="86"/>
      <c r="F17" s="86"/>
      <c r="H17" s="319"/>
      <c r="L17" s="54"/>
      <c r="M17" s="54"/>
      <c r="N17" s="54"/>
      <c r="P17" s="38"/>
      <c r="R17" s="68"/>
      <c r="S17" s="38"/>
    </row>
    <row r="18" spans="1:19" ht="15" customHeight="1" x14ac:dyDescent="0.25">
      <c r="A18" s="121" t="s">
        <v>120</v>
      </c>
      <c r="B18" s="512"/>
      <c r="C18" s="47"/>
      <c r="D18" s="324"/>
      <c r="E18" s="86"/>
      <c r="F18" s="86"/>
      <c r="H18" s="319"/>
      <c r="L18" s="54"/>
      <c r="M18" s="54"/>
      <c r="N18" s="54"/>
      <c r="P18" s="38"/>
      <c r="R18" s="68"/>
      <c r="S18" s="38"/>
    </row>
    <row r="19" spans="1:19" ht="15" customHeight="1" x14ac:dyDescent="0.25">
      <c r="A19" s="121" t="s">
        <v>121</v>
      </c>
      <c r="B19" s="540"/>
      <c r="C19" s="103"/>
      <c r="D19" s="540"/>
      <c r="E19" s="540"/>
      <c r="F19" s="540"/>
      <c r="H19" s="319"/>
      <c r="L19" s="54"/>
      <c r="M19" s="54"/>
      <c r="N19" s="54"/>
      <c r="P19" s="38"/>
      <c r="R19" s="68"/>
      <c r="S19" s="38"/>
    </row>
    <row r="20" spans="1:19" ht="15" customHeight="1" x14ac:dyDescent="0.25">
      <c r="A20" s="121"/>
      <c r="B20" s="47"/>
      <c r="C20" s="47"/>
      <c r="D20" s="86"/>
      <c r="E20" s="86"/>
      <c r="F20" s="86"/>
      <c r="H20" s="319"/>
      <c r="L20" s="54"/>
      <c r="M20" s="54"/>
      <c r="N20" s="54"/>
    </row>
    <row r="21" spans="1:19" ht="15" customHeight="1" x14ac:dyDescent="0.25">
      <c r="A21" s="120" t="s">
        <v>122</v>
      </c>
      <c r="B21" s="509" t="s">
        <v>869</v>
      </c>
      <c r="C21" s="53"/>
      <c r="D21" s="102"/>
      <c r="E21" s="102"/>
      <c r="F21" s="102"/>
      <c r="H21" s="319"/>
      <c r="L21" s="54"/>
      <c r="M21" s="54"/>
      <c r="N21" s="54"/>
    </row>
    <row r="22" spans="1:19" ht="15" customHeight="1" x14ac:dyDescent="0.25">
      <c r="A22" s="121" t="s">
        <v>123</v>
      </c>
      <c r="B22" s="512"/>
      <c r="C22" s="47"/>
      <c r="D22" s="86"/>
      <c r="E22" s="86"/>
      <c r="F22" s="86"/>
      <c r="H22" s="319"/>
      <c r="L22" s="54"/>
      <c r="M22" s="54"/>
      <c r="N22" s="54"/>
    </row>
    <row r="23" spans="1:19" ht="15" customHeight="1" x14ac:dyDescent="0.25">
      <c r="A23" s="121" t="s">
        <v>124</v>
      </c>
      <c r="B23" s="512"/>
      <c r="C23" s="47"/>
      <c r="D23" s="86"/>
      <c r="E23" s="86"/>
      <c r="F23" s="86"/>
      <c r="H23" s="319"/>
      <c r="J23" s="38"/>
      <c r="K23" s="38"/>
      <c r="L23" s="54"/>
      <c r="M23" s="54"/>
      <c r="N23" s="54"/>
      <c r="P23" s="38"/>
      <c r="R23" s="68"/>
      <c r="S23" s="38"/>
    </row>
    <row r="24" spans="1:19" ht="15" customHeight="1" x14ac:dyDescent="0.25">
      <c r="A24" s="121" t="s">
        <v>125</v>
      </c>
      <c r="B24" s="512"/>
      <c r="C24" s="47"/>
      <c r="D24" s="86"/>
      <c r="E24" s="86"/>
      <c r="F24" s="86"/>
      <c r="H24" s="319"/>
      <c r="L24" s="54"/>
      <c r="M24" s="54"/>
      <c r="N24" s="54"/>
      <c r="P24" s="38"/>
    </row>
    <row r="25" spans="1:19" ht="15" customHeight="1" x14ac:dyDescent="0.25">
      <c r="A25" s="121" t="s">
        <v>126</v>
      </c>
      <c r="B25" s="512"/>
      <c r="C25" s="47"/>
      <c r="D25" s="86"/>
      <c r="E25" s="86"/>
      <c r="F25" s="86"/>
      <c r="H25" s="319"/>
      <c r="J25" s="66"/>
      <c r="K25" s="66"/>
      <c r="L25" s="54"/>
      <c r="M25" s="205"/>
      <c r="N25" s="54"/>
      <c r="P25" s="38"/>
    </row>
    <row r="26" spans="1:19" ht="15" customHeight="1" x14ac:dyDescent="0.25">
      <c r="A26" s="121"/>
      <c r="B26" s="47"/>
      <c r="C26" s="47"/>
      <c r="D26" s="86"/>
      <c r="E26" s="86"/>
      <c r="F26" s="86"/>
      <c r="H26" s="319"/>
      <c r="J26" s="38"/>
      <c r="K26" s="38"/>
      <c r="L26" s="54"/>
      <c r="M26" s="54"/>
      <c r="N26" s="54"/>
      <c r="P26" s="38"/>
    </row>
    <row r="27" spans="1:19" ht="15" customHeight="1" x14ac:dyDescent="0.25">
      <c r="A27" s="120" t="s">
        <v>127</v>
      </c>
      <c r="B27" s="509" t="s">
        <v>870</v>
      </c>
      <c r="C27" s="53"/>
      <c r="D27" s="102"/>
      <c r="E27" s="102"/>
      <c r="F27" s="102"/>
      <c r="H27" s="319"/>
      <c r="L27" s="54"/>
      <c r="M27" s="54"/>
      <c r="N27" s="54"/>
    </row>
    <row r="28" spans="1:19" ht="15" customHeight="1" x14ac:dyDescent="0.25">
      <c r="A28" s="121" t="s">
        <v>128</v>
      </c>
      <c r="B28" s="512"/>
      <c r="C28" s="47"/>
      <c r="D28" s="86"/>
      <c r="E28" s="86"/>
      <c r="F28" s="86"/>
      <c r="H28" s="319"/>
      <c r="L28" s="54"/>
      <c r="M28" s="54"/>
      <c r="N28" s="54"/>
    </row>
    <row r="29" spans="1:19" ht="15" customHeight="1" x14ac:dyDescent="0.25">
      <c r="A29" s="121" t="s">
        <v>129</v>
      </c>
      <c r="B29" s="512"/>
      <c r="C29" s="47"/>
      <c r="D29" s="86"/>
      <c r="E29" s="86"/>
      <c r="F29" s="86"/>
      <c r="H29" s="319"/>
      <c r="L29" s="54"/>
      <c r="M29" s="54"/>
      <c r="N29" s="54"/>
    </row>
    <row r="30" spans="1:19" ht="15" customHeight="1" x14ac:dyDescent="0.25">
      <c r="A30" s="121" t="s">
        <v>130</v>
      </c>
      <c r="B30" s="512"/>
      <c r="C30" s="47"/>
      <c r="D30" s="86"/>
      <c r="E30" s="86"/>
      <c r="F30" s="86"/>
      <c r="H30" s="319"/>
      <c r="L30" s="54"/>
      <c r="M30" s="54"/>
      <c r="N30" s="54"/>
    </row>
    <row r="31" spans="1:19" ht="15" customHeight="1" x14ac:dyDescent="0.25">
      <c r="A31" s="121" t="s">
        <v>131</v>
      </c>
      <c r="B31" s="512"/>
      <c r="C31" s="47"/>
      <c r="D31" s="324"/>
      <c r="E31" s="86"/>
      <c r="F31" s="86"/>
      <c r="H31" s="319"/>
      <c r="L31" s="54"/>
      <c r="M31" s="54"/>
      <c r="N31" s="54"/>
    </row>
    <row r="32" spans="1:19" ht="15" customHeight="1" x14ac:dyDescent="0.25">
      <c r="A32" s="121"/>
      <c r="B32" s="47"/>
      <c r="C32" s="47"/>
      <c r="D32" s="86"/>
      <c r="E32" s="86"/>
      <c r="F32" s="86"/>
      <c r="H32" s="319"/>
      <c r="L32" s="54"/>
      <c r="M32" s="54"/>
      <c r="N32" s="54"/>
    </row>
    <row r="33" spans="1:16" ht="15" customHeight="1" x14ac:dyDescent="0.25">
      <c r="A33" s="120" t="s">
        <v>132</v>
      </c>
      <c r="B33" s="509" t="s">
        <v>871</v>
      </c>
      <c r="C33" s="53"/>
      <c r="D33" s="102"/>
      <c r="E33" s="102"/>
      <c r="F33" s="102"/>
      <c r="H33" s="319"/>
      <c r="L33" s="54"/>
      <c r="M33" s="54"/>
      <c r="N33" s="54"/>
    </row>
    <row r="34" spans="1:16" ht="15" customHeight="1" x14ac:dyDescent="0.25">
      <c r="A34" s="121" t="s">
        <v>133</v>
      </c>
      <c r="B34" s="512"/>
      <c r="C34" s="47"/>
      <c r="D34" s="86"/>
      <c r="E34" s="86"/>
      <c r="F34" s="86"/>
      <c r="H34" s="319"/>
      <c r="L34" s="60"/>
      <c r="M34" s="38"/>
      <c r="N34" s="74"/>
      <c r="O34" s="74"/>
      <c r="P34" s="73"/>
    </row>
    <row r="35" spans="1:16" ht="15" customHeight="1" x14ac:dyDescent="0.25">
      <c r="A35" s="121" t="s">
        <v>134</v>
      </c>
      <c r="B35" s="512"/>
      <c r="C35" s="47"/>
      <c r="D35" s="86"/>
      <c r="E35" s="86"/>
      <c r="F35" s="86"/>
      <c r="H35" s="319"/>
      <c r="L35" s="60"/>
      <c r="M35" s="38"/>
      <c r="N35" s="74"/>
      <c r="O35" s="74"/>
      <c r="P35" s="73"/>
    </row>
    <row r="36" spans="1:16" ht="15" customHeight="1" x14ac:dyDescent="0.25">
      <c r="A36" s="121" t="s">
        <v>135</v>
      </c>
      <c r="B36" s="512"/>
      <c r="C36" s="47"/>
      <c r="D36" s="86"/>
      <c r="E36" s="86"/>
      <c r="F36" s="86"/>
      <c r="H36" s="319"/>
      <c r="M36" s="60"/>
    </row>
    <row r="37" spans="1:16" ht="15" customHeight="1" x14ac:dyDescent="0.25">
      <c r="A37" s="121"/>
      <c r="B37" s="47"/>
      <c r="C37" s="47"/>
      <c r="D37" s="86"/>
      <c r="E37" s="86"/>
      <c r="F37" s="86"/>
      <c r="H37" s="319"/>
      <c r="M37" s="60"/>
    </row>
    <row r="38" spans="1:16" ht="15" customHeight="1" x14ac:dyDescent="0.25">
      <c r="A38" s="120" t="s">
        <v>136</v>
      </c>
      <c r="B38" s="509" t="s">
        <v>872</v>
      </c>
      <c r="C38" s="53"/>
      <c r="D38" s="102"/>
      <c r="E38" s="102"/>
      <c r="F38" s="102"/>
      <c r="H38" s="319"/>
      <c r="M38" s="38"/>
      <c r="N38" s="38"/>
      <c r="P38" s="73"/>
    </row>
    <row r="39" spans="1:16" ht="15" customHeight="1" x14ac:dyDescent="0.25">
      <c r="A39" s="121" t="s">
        <v>137</v>
      </c>
      <c r="B39" s="512"/>
      <c r="C39" s="47"/>
      <c r="D39" s="86"/>
      <c r="E39" s="86"/>
      <c r="F39" s="86"/>
      <c r="H39" s="319"/>
      <c r="M39" s="38"/>
      <c r="N39" s="38"/>
      <c r="P39" s="60"/>
    </row>
    <row r="40" spans="1:16" ht="15" customHeight="1" x14ac:dyDescent="0.25">
      <c r="A40" s="121" t="s">
        <v>138</v>
      </c>
      <c r="B40" s="512"/>
      <c r="C40" s="47"/>
      <c r="D40" s="86"/>
      <c r="E40" s="86"/>
      <c r="F40" s="86"/>
      <c r="H40" s="319"/>
      <c r="I40" s="133"/>
      <c r="M40" s="38"/>
      <c r="N40" s="38"/>
      <c r="O40" s="74"/>
      <c r="P40" s="73"/>
    </row>
    <row r="41" spans="1:16" ht="15" customHeight="1" x14ac:dyDescent="0.25">
      <c r="A41" s="121" t="s">
        <v>139</v>
      </c>
      <c r="B41" s="540"/>
      <c r="C41" s="103"/>
      <c r="D41" s="540"/>
      <c r="E41" s="647"/>
      <c r="F41" s="647"/>
      <c r="H41" s="319"/>
      <c r="I41" s="133"/>
      <c r="M41" s="38"/>
      <c r="N41" s="38"/>
      <c r="O41" s="74"/>
      <c r="P41" s="73"/>
    </row>
    <row r="42" spans="1:16" ht="13.8" thickBot="1" x14ac:dyDescent="0.3">
      <c r="A42" s="95"/>
      <c r="B42" s="97"/>
      <c r="C42" s="83"/>
      <c r="D42" s="83"/>
      <c r="E42" s="83"/>
      <c r="F42" s="83"/>
      <c r="K42" s="38"/>
      <c r="L42" s="38"/>
      <c r="M42" s="38"/>
    </row>
    <row r="43" spans="1:16" x14ac:dyDescent="0.25">
      <c r="A43" s="8"/>
      <c r="B43" s="94"/>
      <c r="L43" s="38"/>
      <c r="M43" s="38"/>
      <c r="N43" s="38"/>
    </row>
    <row r="44" spans="1:16" x14ac:dyDescent="0.25">
      <c r="A44" s="352" t="s">
        <v>826</v>
      </c>
      <c r="B44" s="8"/>
      <c r="L44" s="38"/>
      <c r="M44" s="38"/>
      <c r="N44" s="38"/>
    </row>
    <row r="45" spans="1:16" x14ac:dyDescent="0.25">
      <c r="A45" s="8"/>
      <c r="B45" s="8"/>
      <c r="L45" s="38"/>
      <c r="M45" s="38"/>
      <c r="N45" s="38"/>
    </row>
    <row r="46" spans="1:16" ht="80.7" customHeight="1" x14ac:dyDescent="0.25">
      <c r="A46" s="677" t="s">
        <v>140</v>
      </c>
      <c r="B46" s="677"/>
      <c r="C46" s="677"/>
      <c r="D46" s="677"/>
      <c r="E46" s="677"/>
      <c r="F46" s="677"/>
      <c r="G46" s="677"/>
      <c r="L46" s="38"/>
      <c r="M46" s="38"/>
      <c r="N46" s="38"/>
    </row>
    <row r="47" spans="1:16" x14ac:dyDescent="0.25">
      <c r="A47" s="375" t="s">
        <v>141</v>
      </c>
      <c r="B47" s="352"/>
      <c r="L47" s="38"/>
      <c r="M47" s="38"/>
      <c r="N47" s="38"/>
    </row>
    <row r="48" spans="1:16" x14ac:dyDescent="0.25">
      <c r="A48" s="352"/>
      <c r="B48" s="352"/>
      <c r="L48" s="38"/>
      <c r="M48" s="38"/>
      <c r="N48" s="38"/>
    </row>
    <row r="49" spans="1:14" ht="33" customHeight="1" x14ac:dyDescent="0.25">
      <c r="A49" s="674" t="s">
        <v>93</v>
      </c>
      <c r="B49" s="674"/>
      <c r="C49" s="674"/>
      <c r="D49" s="674"/>
      <c r="E49" s="674"/>
      <c r="F49" s="674"/>
      <c r="G49" s="674"/>
      <c r="J49" s="37"/>
      <c r="L49" s="38"/>
      <c r="M49" s="38"/>
      <c r="N49" s="38"/>
    </row>
    <row r="50" spans="1:14" ht="30" customHeight="1" x14ac:dyDescent="0.25">
      <c r="A50" s="673" t="s">
        <v>94</v>
      </c>
      <c r="B50" s="673"/>
      <c r="C50" s="673"/>
      <c r="D50" s="673"/>
      <c r="E50" s="673"/>
      <c r="F50" s="673"/>
      <c r="G50" s="673"/>
      <c r="L50" s="38"/>
      <c r="M50" s="38"/>
      <c r="N50" s="38"/>
    </row>
  </sheetData>
  <sortState ref="A12:B52">
    <sortCondition ref="B12:B52"/>
  </sortState>
  <mergeCells count="5">
    <mergeCell ref="A6:G6"/>
    <mergeCell ref="A49:G49"/>
    <mergeCell ref="A50:G50"/>
    <mergeCell ref="A46:G46"/>
    <mergeCell ref="A5:G5"/>
  </mergeCells>
  <hyperlinks>
    <hyperlink ref="A47" r:id="rId1"/>
  </hyperlinks>
  <pageMargins left="0.23622047244094491" right="0.23622047244094491" top="0.74803149606299213" bottom="0.74803149606299213" header="0.31496062992125984" footer="0.31496062992125984"/>
  <pageSetup paperSize="9" scale="44" fitToHeight="0"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showGridLines="0" workbookViewId="0"/>
  </sheetViews>
  <sheetFormatPr defaultColWidth="9" defaultRowHeight="13.2" x14ac:dyDescent="0.25"/>
  <cols>
    <col min="1" max="1" width="13.796875" style="1" customWidth="1"/>
    <col min="2" max="2" width="83.296875" style="1" customWidth="1"/>
    <col min="3" max="3" width="13.19921875" style="1" customWidth="1"/>
    <col min="4" max="4" width="10.5" style="1" customWidth="1"/>
    <col min="5" max="5" width="14.5" style="1" customWidth="1"/>
    <col min="6" max="6" width="11.796875" style="1" customWidth="1"/>
    <col min="7" max="200" width="9" style="1"/>
    <col min="201" max="201" width="1.19921875" style="1" customWidth="1"/>
    <col min="202" max="202" width="70.59765625" style="1" customWidth="1"/>
    <col min="203" max="207" width="10.59765625" style="1" customWidth="1"/>
    <col min="208" max="456" width="9" style="1"/>
    <col min="457" max="457" width="1.19921875" style="1" customWidth="1"/>
    <col min="458" max="458" width="70.59765625" style="1" customWidth="1"/>
    <col min="459" max="463" width="10.59765625" style="1" customWidth="1"/>
    <col min="464" max="712" width="9" style="1"/>
    <col min="713" max="713" width="1.19921875" style="1" customWidth="1"/>
    <col min="714" max="714" width="70.59765625" style="1" customWidth="1"/>
    <col min="715" max="719" width="10.59765625" style="1" customWidth="1"/>
    <col min="720" max="968" width="9" style="1"/>
    <col min="969" max="969" width="1.19921875" style="1" customWidth="1"/>
    <col min="970" max="970" width="70.59765625" style="1" customWidth="1"/>
    <col min="971" max="975" width="10.59765625" style="1" customWidth="1"/>
    <col min="976" max="1224" width="9" style="1"/>
    <col min="1225" max="1225" width="1.19921875" style="1" customWidth="1"/>
    <col min="1226" max="1226" width="70.59765625" style="1" customWidth="1"/>
    <col min="1227" max="1231" width="10.59765625" style="1" customWidth="1"/>
    <col min="1232" max="1480" width="9" style="1"/>
    <col min="1481" max="1481" width="1.19921875" style="1" customWidth="1"/>
    <col min="1482" max="1482" width="70.59765625" style="1" customWidth="1"/>
    <col min="1483" max="1487" width="10.59765625" style="1" customWidth="1"/>
    <col min="1488" max="1736" width="9" style="1"/>
    <col min="1737" max="1737" width="1.19921875" style="1" customWidth="1"/>
    <col min="1738" max="1738" width="70.59765625" style="1" customWidth="1"/>
    <col min="1739" max="1743" width="10.59765625" style="1" customWidth="1"/>
    <col min="1744" max="1992" width="9" style="1"/>
    <col min="1993" max="1993" width="1.19921875" style="1" customWidth="1"/>
    <col min="1994" max="1994" width="70.59765625" style="1" customWidth="1"/>
    <col min="1995" max="1999" width="10.59765625" style="1" customWidth="1"/>
    <col min="2000" max="2248" width="9" style="1"/>
    <col min="2249" max="2249" width="1.19921875" style="1" customWidth="1"/>
    <col min="2250" max="2250" width="70.59765625" style="1" customWidth="1"/>
    <col min="2251" max="2255" width="10.59765625" style="1" customWidth="1"/>
    <col min="2256" max="2504" width="9" style="1"/>
    <col min="2505" max="2505" width="1.19921875" style="1" customWidth="1"/>
    <col min="2506" max="2506" width="70.59765625" style="1" customWidth="1"/>
    <col min="2507" max="2511" width="10.59765625" style="1" customWidth="1"/>
    <col min="2512" max="2760" width="9" style="1"/>
    <col min="2761" max="2761" width="1.19921875" style="1" customWidth="1"/>
    <col min="2762" max="2762" width="70.59765625" style="1" customWidth="1"/>
    <col min="2763" max="2767" width="10.59765625" style="1" customWidth="1"/>
    <col min="2768" max="3016" width="9" style="1"/>
    <col min="3017" max="3017" width="1.19921875" style="1" customWidth="1"/>
    <col min="3018" max="3018" width="70.59765625" style="1" customWidth="1"/>
    <col min="3019" max="3023" width="10.59765625" style="1" customWidth="1"/>
    <col min="3024" max="3272" width="9" style="1"/>
    <col min="3273" max="3273" width="1.19921875" style="1" customWidth="1"/>
    <col min="3274" max="3274" width="70.59765625" style="1" customWidth="1"/>
    <col min="3275" max="3279" width="10.59765625" style="1" customWidth="1"/>
    <col min="3280" max="3528" width="9" style="1"/>
    <col min="3529" max="3529" width="1.19921875" style="1" customWidth="1"/>
    <col min="3530" max="3530" width="70.59765625" style="1" customWidth="1"/>
    <col min="3531" max="3535" width="10.59765625" style="1" customWidth="1"/>
    <col min="3536" max="3784" width="9" style="1"/>
    <col min="3785" max="3785" width="1.19921875" style="1" customWidth="1"/>
    <col min="3786" max="3786" width="70.59765625" style="1" customWidth="1"/>
    <col min="3787" max="3791" width="10.59765625" style="1" customWidth="1"/>
    <col min="3792" max="4040" width="9" style="1"/>
    <col min="4041" max="4041" width="1.19921875" style="1" customWidth="1"/>
    <col min="4042" max="4042" width="70.59765625" style="1" customWidth="1"/>
    <col min="4043" max="4047" width="10.59765625" style="1" customWidth="1"/>
    <col min="4048" max="4296" width="9" style="1"/>
    <col min="4297" max="4297" width="1.19921875" style="1" customWidth="1"/>
    <col min="4298" max="4298" width="70.59765625" style="1" customWidth="1"/>
    <col min="4299" max="4303" width="10.59765625" style="1" customWidth="1"/>
    <col min="4304" max="4552" width="9" style="1"/>
    <col min="4553" max="4553" width="1.19921875" style="1" customWidth="1"/>
    <col min="4554" max="4554" width="70.59765625" style="1" customWidth="1"/>
    <col min="4555" max="4559" width="10.59765625" style="1" customWidth="1"/>
    <col min="4560" max="4808" width="9" style="1"/>
    <col min="4809" max="4809" width="1.19921875" style="1" customWidth="1"/>
    <col min="4810" max="4810" width="70.59765625" style="1" customWidth="1"/>
    <col min="4811" max="4815" width="10.59765625" style="1" customWidth="1"/>
    <col min="4816" max="5064" width="9" style="1"/>
    <col min="5065" max="5065" width="1.19921875" style="1" customWidth="1"/>
    <col min="5066" max="5066" width="70.59765625" style="1" customWidth="1"/>
    <col min="5067" max="5071" width="10.59765625" style="1" customWidth="1"/>
    <col min="5072" max="5320" width="9" style="1"/>
    <col min="5321" max="5321" width="1.19921875" style="1" customWidth="1"/>
    <col min="5322" max="5322" width="70.59765625" style="1" customWidth="1"/>
    <col min="5323" max="5327" width="10.59765625" style="1" customWidth="1"/>
    <col min="5328" max="5576" width="9" style="1"/>
    <col min="5577" max="5577" width="1.19921875" style="1" customWidth="1"/>
    <col min="5578" max="5578" width="70.59765625" style="1" customWidth="1"/>
    <col min="5579" max="5583" width="10.59765625" style="1" customWidth="1"/>
    <col min="5584" max="5832" width="9" style="1"/>
    <col min="5833" max="5833" width="1.19921875" style="1" customWidth="1"/>
    <col min="5834" max="5834" width="70.59765625" style="1" customWidth="1"/>
    <col min="5835" max="5839" width="10.59765625" style="1" customWidth="1"/>
    <col min="5840" max="6088" width="9" style="1"/>
    <col min="6089" max="6089" width="1.19921875" style="1" customWidth="1"/>
    <col min="6090" max="6090" width="70.59765625" style="1" customWidth="1"/>
    <col min="6091" max="6095" width="10.59765625" style="1" customWidth="1"/>
    <col min="6096" max="6344" width="9" style="1"/>
    <col min="6345" max="6345" width="1.19921875" style="1" customWidth="1"/>
    <col min="6346" max="6346" width="70.59765625" style="1" customWidth="1"/>
    <col min="6347" max="6351" width="10.59765625" style="1" customWidth="1"/>
    <col min="6352" max="6600" width="9" style="1"/>
    <col min="6601" max="6601" width="1.19921875" style="1" customWidth="1"/>
    <col min="6602" max="6602" width="70.59765625" style="1" customWidth="1"/>
    <col min="6603" max="6607" width="10.59765625" style="1" customWidth="1"/>
    <col min="6608" max="6856" width="9" style="1"/>
    <col min="6857" max="6857" width="1.19921875" style="1" customWidth="1"/>
    <col min="6858" max="6858" width="70.59765625" style="1" customWidth="1"/>
    <col min="6859" max="6863" width="10.59765625" style="1" customWidth="1"/>
    <col min="6864" max="7112" width="9" style="1"/>
    <col min="7113" max="7113" width="1.19921875" style="1" customWidth="1"/>
    <col min="7114" max="7114" width="70.59765625" style="1" customWidth="1"/>
    <col min="7115" max="7119" width="10.59765625" style="1" customWidth="1"/>
    <col min="7120" max="7368" width="9" style="1"/>
    <col min="7369" max="7369" width="1.19921875" style="1" customWidth="1"/>
    <col min="7370" max="7370" width="70.59765625" style="1" customWidth="1"/>
    <col min="7371" max="7375" width="10.59765625" style="1" customWidth="1"/>
    <col min="7376" max="7624" width="9" style="1"/>
    <col min="7625" max="7625" width="1.19921875" style="1" customWidth="1"/>
    <col min="7626" max="7626" width="70.59765625" style="1" customWidth="1"/>
    <col min="7627" max="7631" width="10.59765625" style="1" customWidth="1"/>
    <col min="7632" max="7880" width="9" style="1"/>
    <col min="7881" max="7881" width="1.19921875" style="1" customWidth="1"/>
    <col min="7882" max="7882" width="70.59765625" style="1" customWidth="1"/>
    <col min="7883" max="7887" width="10.59765625" style="1" customWidth="1"/>
    <col min="7888" max="8136" width="9" style="1"/>
    <col min="8137" max="8137" width="1.19921875" style="1" customWidth="1"/>
    <col min="8138" max="8138" width="70.59765625" style="1" customWidth="1"/>
    <col min="8139" max="8143" width="10.59765625" style="1" customWidth="1"/>
    <col min="8144" max="8392" width="9" style="1"/>
    <col min="8393" max="8393" width="1.19921875" style="1" customWidth="1"/>
    <col min="8394" max="8394" width="70.59765625" style="1" customWidth="1"/>
    <col min="8395" max="8399" width="10.59765625" style="1" customWidth="1"/>
    <col min="8400" max="8648" width="9" style="1"/>
    <col min="8649" max="8649" width="1.19921875" style="1" customWidth="1"/>
    <col min="8650" max="8650" width="70.59765625" style="1" customWidth="1"/>
    <col min="8651" max="8655" width="10.59765625" style="1" customWidth="1"/>
    <col min="8656" max="8904" width="9" style="1"/>
    <col min="8905" max="8905" width="1.19921875" style="1" customWidth="1"/>
    <col min="8906" max="8906" width="70.59765625" style="1" customWidth="1"/>
    <col min="8907" max="8911" width="10.59765625" style="1" customWidth="1"/>
    <col min="8912" max="9160" width="9" style="1"/>
    <col min="9161" max="9161" width="1.19921875" style="1" customWidth="1"/>
    <col min="9162" max="9162" width="70.59765625" style="1" customWidth="1"/>
    <col min="9163" max="9167" width="10.59765625" style="1" customWidth="1"/>
    <col min="9168" max="9416" width="9" style="1"/>
    <col min="9417" max="9417" width="1.19921875" style="1" customWidth="1"/>
    <col min="9418" max="9418" width="70.59765625" style="1" customWidth="1"/>
    <col min="9419" max="9423" width="10.59765625" style="1" customWidth="1"/>
    <col min="9424" max="9672" width="9" style="1"/>
    <col min="9673" max="9673" width="1.19921875" style="1" customWidth="1"/>
    <col min="9674" max="9674" width="70.59765625" style="1" customWidth="1"/>
    <col min="9675" max="9679" width="10.59765625" style="1" customWidth="1"/>
    <col min="9680" max="9928" width="9" style="1"/>
    <col min="9929" max="9929" width="1.19921875" style="1" customWidth="1"/>
    <col min="9930" max="9930" width="70.59765625" style="1" customWidth="1"/>
    <col min="9931" max="9935" width="10.59765625" style="1" customWidth="1"/>
    <col min="9936" max="10184" width="9" style="1"/>
    <col min="10185" max="10185" width="1.19921875" style="1" customWidth="1"/>
    <col min="10186" max="10186" width="70.59765625" style="1" customWidth="1"/>
    <col min="10187" max="10191" width="10.59765625" style="1" customWidth="1"/>
    <col min="10192" max="10440" width="9" style="1"/>
    <col min="10441" max="10441" width="1.19921875" style="1" customWidth="1"/>
    <col min="10442" max="10442" width="70.59765625" style="1" customWidth="1"/>
    <col min="10443" max="10447" width="10.59765625" style="1" customWidth="1"/>
    <col min="10448" max="10696" width="9" style="1"/>
    <col min="10697" max="10697" width="1.19921875" style="1" customWidth="1"/>
    <col min="10698" max="10698" width="70.59765625" style="1" customWidth="1"/>
    <col min="10699" max="10703" width="10.59765625" style="1" customWidth="1"/>
    <col min="10704" max="10952" width="9" style="1"/>
    <col min="10953" max="10953" width="1.19921875" style="1" customWidth="1"/>
    <col min="10954" max="10954" width="70.59765625" style="1" customWidth="1"/>
    <col min="10955" max="10959" width="10.59765625" style="1" customWidth="1"/>
    <col min="10960" max="11208" width="9" style="1"/>
    <col min="11209" max="11209" width="1.19921875" style="1" customWidth="1"/>
    <col min="11210" max="11210" width="70.59765625" style="1" customWidth="1"/>
    <col min="11211" max="11215" width="10.59765625" style="1" customWidth="1"/>
    <col min="11216" max="11464" width="9" style="1"/>
    <col min="11465" max="11465" width="1.19921875" style="1" customWidth="1"/>
    <col min="11466" max="11466" width="70.59765625" style="1" customWidth="1"/>
    <col min="11467" max="11471" width="10.59765625" style="1" customWidth="1"/>
    <col min="11472" max="11720" width="9" style="1"/>
    <col min="11721" max="11721" width="1.19921875" style="1" customWidth="1"/>
    <col min="11722" max="11722" width="70.59765625" style="1" customWidth="1"/>
    <col min="11723" max="11727" width="10.59765625" style="1" customWidth="1"/>
    <col min="11728" max="11976" width="9" style="1"/>
    <col min="11977" max="11977" width="1.19921875" style="1" customWidth="1"/>
    <col min="11978" max="11978" width="70.59765625" style="1" customWidth="1"/>
    <col min="11979" max="11983" width="10.59765625" style="1" customWidth="1"/>
    <col min="11984" max="12232" width="9" style="1"/>
    <col min="12233" max="12233" width="1.19921875" style="1" customWidth="1"/>
    <col min="12234" max="12234" width="70.59765625" style="1" customWidth="1"/>
    <col min="12235" max="12239" width="10.59765625" style="1" customWidth="1"/>
    <col min="12240" max="12488" width="9" style="1"/>
    <col min="12489" max="12489" width="1.19921875" style="1" customWidth="1"/>
    <col min="12490" max="12490" width="70.59765625" style="1" customWidth="1"/>
    <col min="12491" max="12495" width="10.59765625" style="1" customWidth="1"/>
    <col min="12496" max="12744" width="9" style="1"/>
    <col min="12745" max="12745" width="1.19921875" style="1" customWidth="1"/>
    <col min="12746" max="12746" width="70.59765625" style="1" customWidth="1"/>
    <col min="12747" max="12751" width="10.59765625" style="1" customWidth="1"/>
    <col min="12752" max="13000" width="9" style="1"/>
    <col min="13001" max="13001" width="1.19921875" style="1" customWidth="1"/>
    <col min="13002" max="13002" width="70.59765625" style="1" customWidth="1"/>
    <col min="13003" max="13007" width="10.59765625" style="1" customWidth="1"/>
    <col min="13008" max="13256" width="9" style="1"/>
    <col min="13257" max="13257" width="1.19921875" style="1" customWidth="1"/>
    <col min="13258" max="13258" width="70.59765625" style="1" customWidth="1"/>
    <col min="13259" max="13263" width="10.59765625" style="1" customWidth="1"/>
    <col min="13264" max="13512" width="9" style="1"/>
    <col min="13513" max="13513" width="1.19921875" style="1" customWidth="1"/>
    <col min="13514" max="13514" width="70.59765625" style="1" customWidth="1"/>
    <col min="13515" max="13519" width="10.59765625" style="1" customWidth="1"/>
    <col min="13520" max="13768" width="9" style="1"/>
    <col min="13769" max="13769" width="1.19921875" style="1" customWidth="1"/>
    <col min="13770" max="13770" width="70.59765625" style="1" customWidth="1"/>
    <col min="13771" max="13775" width="10.59765625" style="1" customWidth="1"/>
    <col min="13776" max="14024" width="9" style="1"/>
    <col min="14025" max="14025" width="1.19921875" style="1" customWidth="1"/>
    <col min="14026" max="14026" width="70.59765625" style="1" customWidth="1"/>
    <col min="14027" max="14031" width="10.59765625" style="1" customWidth="1"/>
    <col min="14032" max="14280" width="9" style="1"/>
    <col min="14281" max="14281" width="1.19921875" style="1" customWidth="1"/>
    <col min="14282" max="14282" width="70.59765625" style="1" customWidth="1"/>
    <col min="14283" max="14287" width="10.59765625" style="1" customWidth="1"/>
    <col min="14288" max="14536" width="9" style="1"/>
    <col min="14537" max="14537" width="1.19921875" style="1" customWidth="1"/>
    <col min="14538" max="14538" width="70.59765625" style="1" customWidth="1"/>
    <col min="14539" max="14543" width="10.59765625" style="1" customWidth="1"/>
    <col min="14544" max="14792" width="9" style="1"/>
    <col min="14793" max="14793" width="1.19921875" style="1" customWidth="1"/>
    <col min="14794" max="14794" width="70.59765625" style="1" customWidth="1"/>
    <col min="14795" max="14799" width="10.59765625" style="1" customWidth="1"/>
    <col min="14800" max="15048" width="9" style="1"/>
    <col min="15049" max="15049" width="1.19921875" style="1" customWidth="1"/>
    <col min="15050" max="15050" width="70.59765625" style="1" customWidth="1"/>
    <col min="15051" max="15055" width="10.59765625" style="1" customWidth="1"/>
    <col min="15056" max="15304" width="9" style="1"/>
    <col min="15305" max="15305" width="1.19921875" style="1" customWidth="1"/>
    <col min="15306" max="15306" width="70.59765625" style="1" customWidth="1"/>
    <col min="15307" max="15311" width="10.59765625" style="1" customWidth="1"/>
    <col min="15312" max="15560" width="9" style="1"/>
    <col min="15561" max="15561" width="1.19921875" style="1" customWidth="1"/>
    <col min="15562" max="15562" width="70.59765625" style="1" customWidth="1"/>
    <col min="15563" max="15567" width="10.59765625" style="1" customWidth="1"/>
    <col min="15568" max="16384" width="9" style="1"/>
  </cols>
  <sheetData>
    <row r="1" spans="1:6" ht="13.8" x14ac:dyDescent="0.25">
      <c r="A1" s="11" t="s">
        <v>12</v>
      </c>
      <c r="B1" s="61"/>
      <c r="C1" s="61"/>
      <c r="D1" s="61"/>
      <c r="E1" s="61"/>
    </row>
    <row r="2" spans="1:6" x14ac:dyDescent="0.25">
      <c r="A2" s="61"/>
      <c r="B2" s="61"/>
      <c r="C2" s="61"/>
      <c r="D2" s="61"/>
      <c r="E2" s="61"/>
    </row>
    <row r="3" spans="1:6" ht="30" customHeight="1" x14ac:dyDescent="0.25">
      <c r="A3" s="679" t="s">
        <v>827</v>
      </c>
      <c r="B3" s="679"/>
      <c r="C3" s="679"/>
    </row>
    <row r="4" spans="1:6" ht="16.5" customHeight="1" x14ac:dyDescent="0.25">
      <c r="A4" s="11"/>
      <c r="B4" s="11"/>
    </row>
    <row r="5" spans="1:6" ht="122.25" customHeight="1" x14ac:dyDescent="0.25">
      <c r="A5" s="673" t="s">
        <v>828</v>
      </c>
      <c r="B5" s="673"/>
      <c r="C5" s="673"/>
      <c r="D5" s="673"/>
      <c r="E5" s="673"/>
      <c r="F5" s="352"/>
    </row>
    <row r="6" spans="1:6" ht="13.8" thickBot="1" x14ac:dyDescent="0.3">
      <c r="A6" s="83"/>
      <c r="B6" s="83"/>
      <c r="C6" s="83"/>
      <c r="D6" s="83"/>
      <c r="E6" s="83"/>
    </row>
    <row r="7" spans="1:6" ht="42" customHeight="1" thickBot="1" x14ac:dyDescent="0.3">
      <c r="A7" s="98"/>
      <c r="B7" s="123" t="s">
        <v>142</v>
      </c>
      <c r="C7" s="119" t="s">
        <v>95</v>
      </c>
      <c r="D7" s="119" t="s">
        <v>143</v>
      </c>
      <c r="E7" s="119" t="s">
        <v>97</v>
      </c>
    </row>
    <row r="8" spans="1:6" x14ac:dyDescent="0.25">
      <c r="A8" s="352"/>
      <c r="B8" s="352"/>
    </row>
    <row r="9" spans="1:6" ht="15" customHeight="1" x14ac:dyDescent="0.25">
      <c r="A9" s="8" t="s">
        <v>98</v>
      </c>
      <c r="B9" s="4"/>
      <c r="C9" s="331" t="s">
        <v>873</v>
      </c>
      <c r="D9" s="178"/>
      <c r="E9" s="129"/>
    </row>
    <row r="10" spans="1:6" ht="15" customHeight="1" x14ac:dyDescent="0.25">
      <c r="A10" s="6"/>
      <c r="B10" s="6"/>
      <c r="C10" s="21"/>
      <c r="D10" s="130"/>
    </row>
    <row r="11" spans="1:6" ht="15" customHeight="1" x14ac:dyDescent="0.25">
      <c r="A11" s="124" t="s">
        <v>144</v>
      </c>
      <c r="B11" s="125"/>
      <c r="C11" s="331" t="s">
        <v>874</v>
      </c>
      <c r="D11" s="178"/>
      <c r="E11" s="129"/>
    </row>
    <row r="12" spans="1:6" ht="15" customHeight="1" x14ac:dyDescent="0.25">
      <c r="A12" s="6"/>
      <c r="B12" s="6"/>
      <c r="C12" s="21"/>
      <c r="E12" s="22"/>
    </row>
    <row r="13" spans="1:6" ht="15" customHeight="1" x14ac:dyDescent="0.25">
      <c r="A13" s="608" t="s">
        <v>875</v>
      </c>
      <c r="B13" s="608"/>
      <c r="C13" s="179"/>
      <c r="D13" s="179"/>
      <c r="E13" s="180"/>
    </row>
    <row r="14" spans="1:6" ht="15" customHeight="1" x14ac:dyDescent="0.25">
      <c r="A14" s="608"/>
      <c r="B14" s="608"/>
      <c r="C14" s="179"/>
      <c r="D14" s="179"/>
      <c r="E14" s="180"/>
    </row>
    <row r="15" spans="1:6" ht="15" customHeight="1" x14ac:dyDescent="0.25">
      <c r="A15" s="608"/>
      <c r="B15" s="608"/>
      <c r="C15" s="179"/>
      <c r="D15" s="179"/>
      <c r="E15" s="180"/>
    </row>
    <row r="16" spans="1:6" ht="15" customHeight="1" x14ac:dyDescent="0.25">
      <c r="A16" s="608"/>
      <c r="B16" s="608"/>
      <c r="C16" s="179"/>
      <c r="D16" s="179"/>
      <c r="E16" s="180"/>
    </row>
    <row r="17" spans="1:5" ht="15" customHeight="1" x14ac:dyDescent="0.25">
      <c r="A17" s="608"/>
      <c r="B17" s="608"/>
      <c r="C17" s="179"/>
      <c r="D17" s="179"/>
      <c r="E17" s="180"/>
    </row>
    <row r="18" spans="1:5" ht="15" customHeight="1" x14ac:dyDescent="0.25">
      <c r="A18" s="608"/>
      <c r="B18" s="608"/>
      <c r="C18" s="179"/>
      <c r="D18" s="179"/>
      <c r="E18" s="180"/>
    </row>
    <row r="19" spans="1:5" ht="15" customHeight="1" x14ac:dyDescent="0.25">
      <c r="A19" s="608"/>
      <c r="B19" s="608"/>
      <c r="C19" s="179"/>
      <c r="D19" s="179"/>
      <c r="E19" s="180"/>
    </row>
    <row r="20" spans="1:5" ht="15" customHeight="1" x14ac:dyDescent="0.25">
      <c r="A20" s="608"/>
      <c r="B20" s="608"/>
      <c r="C20" s="179"/>
      <c r="D20" s="179"/>
      <c r="E20" s="180"/>
    </row>
    <row r="21" spans="1:5" ht="15" customHeight="1" x14ac:dyDescent="0.25">
      <c r="A21" s="608"/>
      <c r="B21" s="608"/>
      <c r="C21" s="179"/>
      <c r="D21" s="179"/>
      <c r="E21" s="180"/>
    </row>
    <row r="22" spans="1:5" ht="15" customHeight="1" x14ac:dyDescent="0.25">
      <c r="A22" s="608"/>
      <c r="B22" s="608"/>
      <c r="C22" s="179"/>
      <c r="D22" s="179"/>
      <c r="E22" s="180"/>
    </row>
    <row r="23" spans="1:5" ht="15" customHeight="1" x14ac:dyDescent="0.25">
      <c r="A23" s="608"/>
      <c r="B23" s="608"/>
      <c r="C23" s="179"/>
      <c r="D23" s="179"/>
      <c r="E23" s="180"/>
    </row>
    <row r="24" spans="1:5" ht="15" customHeight="1" x14ac:dyDescent="0.25">
      <c r="A24" s="608"/>
      <c r="B24" s="608"/>
      <c r="C24" s="179"/>
      <c r="D24" s="179"/>
      <c r="E24" s="180"/>
    </row>
    <row r="25" spans="1:5" ht="15" customHeight="1" x14ac:dyDescent="0.25">
      <c r="A25" s="608"/>
      <c r="B25" s="608"/>
      <c r="C25" s="179"/>
      <c r="D25" s="179"/>
      <c r="E25" s="180"/>
    </row>
    <row r="26" spans="1:5" ht="15" customHeight="1" x14ac:dyDescent="0.25">
      <c r="A26" s="608"/>
      <c r="B26" s="608"/>
      <c r="C26" s="179"/>
      <c r="D26" s="179"/>
      <c r="E26" s="180"/>
    </row>
    <row r="27" spans="1:5" ht="15" customHeight="1" x14ac:dyDescent="0.25">
      <c r="A27" s="608"/>
      <c r="B27" s="608"/>
      <c r="C27" s="179"/>
      <c r="D27" s="179"/>
      <c r="E27" s="180"/>
    </row>
    <row r="28" spans="1:5" ht="15" customHeight="1" x14ac:dyDescent="0.25">
      <c r="A28" s="608"/>
      <c r="B28" s="608"/>
      <c r="C28" s="179"/>
      <c r="D28" s="179"/>
      <c r="E28" s="180"/>
    </row>
    <row r="29" spans="1:5" ht="15" customHeight="1" x14ac:dyDescent="0.25">
      <c r="A29" s="608"/>
      <c r="B29" s="608"/>
      <c r="C29" s="179"/>
      <c r="D29" s="179"/>
      <c r="E29" s="180"/>
    </row>
    <row r="30" spans="1:5" ht="15" customHeight="1" x14ac:dyDescent="0.25">
      <c r="A30" s="608"/>
      <c r="B30" s="608"/>
      <c r="C30" s="179"/>
      <c r="D30" s="179"/>
      <c r="E30" s="180"/>
    </row>
    <row r="31" spans="1:5" ht="15" customHeight="1" x14ac:dyDescent="0.25">
      <c r="A31" s="608"/>
      <c r="B31" s="608"/>
      <c r="C31" s="179"/>
      <c r="D31" s="179"/>
      <c r="E31" s="180"/>
    </row>
    <row r="32" spans="1:5" ht="15" customHeight="1" x14ac:dyDescent="0.25">
      <c r="A32" s="608"/>
      <c r="B32" s="608"/>
      <c r="C32" s="179"/>
      <c r="D32" s="179"/>
      <c r="E32" s="180"/>
    </row>
    <row r="33" spans="1:5" ht="15" customHeight="1" x14ac:dyDescent="0.25">
      <c r="A33" s="608"/>
      <c r="B33" s="608"/>
      <c r="C33" s="179"/>
      <c r="D33" s="179"/>
      <c r="E33" s="180"/>
    </row>
    <row r="34" spans="1:5" ht="15" customHeight="1" x14ac:dyDescent="0.25">
      <c r="A34" s="608"/>
      <c r="B34" s="608"/>
      <c r="C34" s="179"/>
      <c r="D34" s="179"/>
      <c r="E34" s="180"/>
    </row>
    <row r="35" spans="1:5" ht="15" customHeight="1" x14ac:dyDescent="0.25">
      <c r="A35" s="608"/>
      <c r="B35" s="608"/>
      <c r="C35" s="179"/>
      <c r="D35" s="179"/>
      <c r="E35" s="180"/>
    </row>
    <row r="36" spans="1:5" ht="15" customHeight="1" x14ac:dyDescent="0.25">
      <c r="A36" s="608"/>
      <c r="B36" s="608"/>
      <c r="C36" s="179"/>
      <c r="D36" s="179"/>
      <c r="E36" s="180"/>
    </row>
    <row r="37" spans="1:5" ht="15" customHeight="1" x14ac:dyDescent="0.25">
      <c r="A37" s="608"/>
      <c r="B37" s="608"/>
      <c r="C37" s="179"/>
      <c r="D37" s="179"/>
      <c r="E37" s="180"/>
    </row>
    <row r="38" spans="1:5" ht="15" customHeight="1" x14ac:dyDescent="0.25">
      <c r="A38" s="608"/>
      <c r="B38" s="608"/>
      <c r="C38" s="179"/>
      <c r="D38" s="179"/>
      <c r="E38" s="180"/>
    </row>
    <row r="39" spans="1:5" ht="15" customHeight="1" x14ac:dyDescent="0.25">
      <c r="A39" s="608"/>
      <c r="B39" s="608"/>
      <c r="C39" s="179"/>
      <c r="D39" s="179"/>
      <c r="E39" s="180"/>
    </row>
    <row r="40" spans="1:5" ht="15" customHeight="1" x14ac:dyDescent="0.25">
      <c r="A40" s="608"/>
      <c r="B40" s="608"/>
      <c r="C40" s="179"/>
      <c r="D40" s="179"/>
      <c r="E40" s="180"/>
    </row>
    <row r="41" spans="1:5" ht="15" customHeight="1" x14ac:dyDescent="0.25">
      <c r="A41" s="608"/>
      <c r="B41" s="608"/>
      <c r="C41" s="179"/>
      <c r="D41" s="179"/>
      <c r="E41" s="180"/>
    </row>
    <row r="42" spans="1:5" ht="15" customHeight="1" x14ac:dyDescent="0.25">
      <c r="A42" s="608"/>
      <c r="B42" s="608"/>
      <c r="C42" s="179"/>
      <c r="D42" s="179"/>
      <c r="E42" s="180"/>
    </row>
    <row r="43" spans="1:5" ht="15" customHeight="1" x14ac:dyDescent="0.25">
      <c r="A43" s="608"/>
      <c r="B43" s="608"/>
      <c r="C43" s="179"/>
      <c r="D43" s="179"/>
      <c r="E43" s="180"/>
    </row>
    <row r="44" spans="1:5" ht="15" customHeight="1" x14ac:dyDescent="0.25">
      <c r="A44" s="608"/>
      <c r="B44" s="608"/>
      <c r="C44" s="179"/>
      <c r="D44" s="179"/>
      <c r="E44" s="180"/>
    </row>
    <row r="45" spans="1:5" ht="15" customHeight="1" x14ac:dyDescent="0.25">
      <c r="A45" s="608"/>
      <c r="B45" s="608"/>
      <c r="C45" s="179"/>
      <c r="D45" s="179"/>
      <c r="E45" s="180"/>
    </row>
    <row r="46" spans="1:5" ht="15" customHeight="1" x14ac:dyDescent="0.25">
      <c r="A46" s="608"/>
      <c r="B46" s="608"/>
      <c r="C46" s="179"/>
      <c r="D46" s="179"/>
      <c r="E46" s="180"/>
    </row>
    <row r="47" spans="1:5" ht="15" customHeight="1" x14ac:dyDescent="0.25">
      <c r="A47" s="608"/>
      <c r="B47" s="608"/>
      <c r="C47" s="179"/>
      <c r="D47" s="179"/>
      <c r="E47" s="180"/>
    </row>
    <row r="48" spans="1:5" ht="15" customHeight="1" x14ac:dyDescent="0.25">
      <c r="A48" s="608"/>
      <c r="B48" s="608"/>
      <c r="C48" s="179"/>
      <c r="D48" s="179"/>
      <c r="E48" s="180"/>
    </row>
    <row r="49" spans="1:6" ht="15" customHeight="1" x14ac:dyDescent="0.25">
      <c r="A49" s="608"/>
      <c r="B49" s="608"/>
      <c r="C49" s="179"/>
      <c r="D49" s="179"/>
      <c r="E49" s="180"/>
    </row>
    <row r="50" spans="1:6" ht="15" customHeight="1" x14ac:dyDescent="0.25">
      <c r="A50" s="608"/>
      <c r="B50" s="608"/>
      <c r="C50" s="179"/>
      <c r="D50" s="179"/>
      <c r="E50" s="180"/>
    </row>
    <row r="51" spans="1:6" ht="15" customHeight="1" x14ac:dyDescent="0.25">
      <c r="A51" s="608"/>
      <c r="B51" s="608"/>
      <c r="C51" s="179"/>
      <c r="D51" s="179"/>
      <c r="E51" s="180"/>
    </row>
    <row r="52" spans="1:6" ht="15" customHeight="1" x14ac:dyDescent="0.25">
      <c r="A52" s="608"/>
      <c r="B52" s="608"/>
      <c r="C52" s="179"/>
      <c r="D52" s="179"/>
      <c r="E52" s="180"/>
    </row>
    <row r="53" spans="1:6" ht="15" customHeight="1" x14ac:dyDescent="0.25">
      <c r="A53" s="608"/>
      <c r="B53" s="608"/>
      <c r="C53" s="179"/>
      <c r="D53" s="179"/>
      <c r="E53" s="180"/>
    </row>
    <row r="54" spans="1:6" ht="15" customHeight="1" x14ac:dyDescent="0.25">
      <c r="A54" s="608"/>
      <c r="B54" s="608"/>
      <c r="C54" s="179"/>
      <c r="D54" s="179"/>
      <c r="E54" s="180"/>
    </row>
    <row r="55" spans="1:6" ht="15" customHeight="1" x14ac:dyDescent="0.25">
      <c r="A55" s="608"/>
      <c r="B55" s="608"/>
      <c r="C55" s="179"/>
      <c r="D55" s="541"/>
      <c r="E55" s="180"/>
    </row>
    <row r="56" spans="1:6" ht="15" customHeight="1" thickBot="1" x14ac:dyDescent="0.3">
      <c r="A56" s="609"/>
      <c r="B56" s="609"/>
      <c r="C56" s="83"/>
      <c r="D56" s="83"/>
      <c r="E56" s="83"/>
    </row>
    <row r="57" spans="1:6" ht="15" customHeight="1" x14ac:dyDescent="0.25">
      <c r="A57" s="610"/>
      <c r="B57" s="610"/>
    </row>
    <row r="58" spans="1:6" x14ac:dyDescent="0.25">
      <c r="A58" s="678" t="s">
        <v>826</v>
      </c>
      <c r="B58" s="678"/>
      <c r="C58" s="348"/>
      <c r="D58" s="348"/>
      <c r="E58" s="348"/>
      <c r="F58" s="348"/>
    </row>
    <row r="59" spans="1:6" x14ac:dyDescent="0.25">
      <c r="A59" s="352"/>
      <c r="B59" s="352"/>
    </row>
    <row r="60" spans="1:6" ht="69.75" customHeight="1" x14ac:dyDescent="0.25">
      <c r="A60" s="677" t="s">
        <v>145</v>
      </c>
      <c r="B60" s="677"/>
      <c r="C60" s="677"/>
      <c r="D60" s="677"/>
      <c r="E60" s="677"/>
      <c r="F60" s="351"/>
    </row>
    <row r="61" spans="1:6" ht="12.75" customHeight="1" x14ac:dyDescent="0.25">
      <c r="A61" s="352"/>
      <c r="B61" s="352"/>
    </row>
    <row r="62" spans="1:6" x14ac:dyDescent="0.25">
      <c r="A62" s="674" t="s">
        <v>93</v>
      </c>
      <c r="B62" s="674"/>
      <c r="C62" s="674"/>
      <c r="D62" s="674"/>
      <c r="E62" s="674"/>
      <c r="F62" s="349"/>
    </row>
    <row r="63" spans="1:6" ht="30.75" customHeight="1" x14ac:dyDescent="0.25">
      <c r="A63" s="673" t="s">
        <v>94</v>
      </c>
      <c r="B63" s="673"/>
      <c r="C63" s="673"/>
      <c r="D63" s="673"/>
      <c r="E63" s="673"/>
      <c r="F63" s="348"/>
    </row>
    <row r="64" spans="1:6" ht="32.25" customHeight="1" x14ac:dyDescent="0.25"/>
    <row r="65" ht="32.25" customHeight="1" x14ac:dyDescent="0.25"/>
    <row r="66" ht="29.55" customHeight="1" x14ac:dyDescent="0.25"/>
  </sheetData>
  <sortState ref="A13:C55">
    <sortCondition ref="B13:B55"/>
  </sortState>
  <mergeCells count="6">
    <mergeCell ref="A63:E63"/>
    <mergeCell ref="A58:B58"/>
    <mergeCell ref="A3:C3"/>
    <mergeCell ref="A60:E60"/>
    <mergeCell ref="A5:E5"/>
    <mergeCell ref="A62:E62"/>
  </mergeCells>
  <phoneticPr fontId="86" type="noConversion"/>
  <conditionalFormatting sqref="A13:A55">
    <cfRule type="duplicateValues" dxfId="20" priority="34"/>
  </conditionalFormatting>
  <pageMargins left="0.7" right="0.7" top="0.75" bottom="0.75" header="0.3" footer="0.3"/>
  <pageSetup paperSize="9" scale="5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63"/>
  <sheetViews>
    <sheetView workbookViewId="0"/>
  </sheetViews>
  <sheetFormatPr defaultColWidth="9" defaultRowHeight="13.2" x14ac:dyDescent="0.25"/>
  <cols>
    <col min="1" max="1" width="25.5" style="1" customWidth="1"/>
    <col min="2" max="6" width="7.69921875" style="1" customWidth="1"/>
    <col min="7" max="7" width="2.69921875" style="1" customWidth="1"/>
    <col min="8" max="13" width="10.19921875" style="1" customWidth="1"/>
    <col min="14" max="18" width="7.69921875" style="1" customWidth="1"/>
    <col min="19" max="19" width="2.69921875" style="1" customWidth="1"/>
    <col min="20" max="25" width="10.296875" style="1" customWidth="1"/>
    <col min="26" max="198" width="9" style="1"/>
    <col min="199" max="199" width="1.19921875" style="1" customWidth="1"/>
    <col min="200" max="200" width="70.59765625" style="1" customWidth="1"/>
    <col min="201" max="205" width="10.59765625" style="1" customWidth="1"/>
    <col min="206" max="454" width="9" style="1"/>
    <col min="455" max="455" width="1.19921875" style="1" customWidth="1"/>
    <col min="456" max="456" width="70.59765625" style="1" customWidth="1"/>
    <col min="457" max="461" width="10.59765625" style="1" customWidth="1"/>
    <col min="462" max="710" width="9" style="1"/>
    <col min="711" max="711" width="1.19921875" style="1" customWidth="1"/>
    <col min="712" max="712" width="70.59765625" style="1" customWidth="1"/>
    <col min="713" max="717" width="10.59765625" style="1" customWidth="1"/>
    <col min="718" max="966" width="9" style="1"/>
    <col min="967" max="967" width="1.19921875" style="1" customWidth="1"/>
    <col min="968" max="968" width="70.59765625" style="1" customWidth="1"/>
    <col min="969" max="973" width="10.59765625" style="1" customWidth="1"/>
    <col min="974" max="1222" width="9" style="1"/>
    <col min="1223" max="1223" width="1.19921875" style="1" customWidth="1"/>
    <col min="1224" max="1224" width="70.59765625" style="1" customWidth="1"/>
    <col min="1225" max="1229" width="10.59765625" style="1" customWidth="1"/>
    <col min="1230" max="1478" width="9" style="1"/>
    <col min="1479" max="1479" width="1.19921875" style="1" customWidth="1"/>
    <col min="1480" max="1480" width="70.59765625" style="1" customWidth="1"/>
    <col min="1481" max="1485" width="10.59765625" style="1" customWidth="1"/>
    <col min="1486" max="1734" width="9" style="1"/>
    <col min="1735" max="1735" width="1.19921875" style="1" customWidth="1"/>
    <col min="1736" max="1736" width="70.59765625" style="1" customWidth="1"/>
    <col min="1737" max="1741" width="10.59765625" style="1" customWidth="1"/>
    <col min="1742" max="1990" width="9" style="1"/>
    <col min="1991" max="1991" width="1.19921875" style="1" customWidth="1"/>
    <col min="1992" max="1992" width="70.59765625" style="1" customWidth="1"/>
    <col min="1993" max="1997" width="10.59765625" style="1" customWidth="1"/>
    <col min="1998" max="2246" width="9" style="1"/>
    <col min="2247" max="2247" width="1.19921875" style="1" customWidth="1"/>
    <col min="2248" max="2248" width="70.59765625" style="1" customWidth="1"/>
    <col min="2249" max="2253" width="10.59765625" style="1" customWidth="1"/>
    <col min="2254" max="2502" width="9" style="1"/>
    <col min="2503" max="2503" width="1.19921875" style="1" customWidth="1"/>
    <col min="2504" max="2504" width="70.59765625" style="1" customWidth="1"/>
    <col min="2505" max="2509" width="10.59765625" style="1" customWidth="1"/>
    <col min="2510" max="2758" width="9" style="1"/>
    <col min="2759" max="2759" width="1.19921875" style="1" customWidth="1"/>
    <col min="2760" max="2760" width="70.59765625" style="1" customWidth="1"/>
    <col min="2761" max="2765" width="10.59765625" style="1" customWidth="1"/>
    <col min="2766" max="3014" width="9" style="1"/>
    <col min="3015" max="3015" width="1.19921875" style="1" customWidth="1"/>
    <col min="3016" max="3016" width="70.59765625" style="1" customWidth="1"/>
    <col min="3017" max="3021" width="10.59765625" style="1" customWidth="1"/>
    <col min="3022" max="3270" width="9" style="1"/>
    <col min="3271" max="3271" width="1.19921875" style="1" customWidth="1"/>
    <col min="3272" max="3272" width="70.59765625" style="1" customWidth="1"/>
    <col min="3273" max="3277" width="10.59765625" style="1" customWidth="1"/>
    <col min="3278" max="3526" width="9" style="1"/>
    <col min="3527" max="3527" width="1.19921875" style="1" customWidth="1"/>
    <col min="3528" max="3528" width="70.59765625" style="1" customWidth="1"/>
    <col min="3529" max="3533" width="10.59765625" style="1" customWidth="1"/>
    <col min="3534" max="3782" width="9" style="1"/>
    <col min="3783" max="3783" width="1.19921875" style="1" customWidth="1"/>
    <col min="3784" max="3784" width="70.59765625" style="1" customWidth="1"/>
    <col min="3785" max="3789" width="10.59765625" style="1" customWidth="1"/>
    <col min="3790" max="4038" width="9" style="1"/>
    <col min="4039" max="4039" width="1.19921875" style="1" customWidth="1"/>
    <col min="4040" max="4040" width="70.59765625" style="1" customWidth="1"/>
    <col min="4041" max="4045" width="10.59765625" style="1" customWidth="1"/>
    <col min="4046" max="4294" width="9" style="1"/>
    <col min="4295" max="4295" width="1.19921875" style="1" customWidth="1"/>
    <col min="4296" max="4296" width="70.59765625" style="1" customWidth="1"/>
    <col min="4297" max="4301" width="10.59765625" style="1" customWidth="1"/>
    <col min="4302" max="4550" width="9" style="1"/>
    <col min="4551" max="4551" width="1.19921875" style="1" customWidth="1"/>
    <col min="4552" max="4552" width="70.59765625" style="1" customWidth="1"/>
    <col min="4553" max="4557" width="10.59765625" style="1" customWidth="1"/>
    <col min="4558" max="4806" width="9" style="1"/>
    <col min="4807" max="4807" width="1.19921875" style="1" customWidth="1"/>
    <col min="4808" max="4808" width="70.59765625" style="1" customWidth="1"/>
    <col min="4809" max="4813" width="10.59765625" style="1" customWidth="1"/>
    <col min="4814" max="5062" width="9" style="1"/>
    <col min="5063" max="5063" width="1.19921875" style="1" customWidth="1"/>
    <col min="5064" max="5064" width="70.59765625" style="1" customWidth="1"/>
    <col min="5065" max="5069" width="10.59765625" style="1" customWidth="1"/>
    <col min="5070" max="5318" width="9" style="1"/>
    <col min="5319" max="5319" width="1.19921875" style="1" customWidth="1"/>
    <col min="5320" max="5320" width="70.59765625" style="1" customWidth="1"/>
    <col min="5321" max="5325" width="10.59765625" style="1" customWidth="1"/>
    <col min="5326" max="5574" width="9" style="1"/>
    <col min="5575" max="5575" width="1.19921875" style="1" customWidth="1"/>
    <col min="5576" max="5576" width="70.59765625" style="1" customWidth="1"/>
    <col min="5577" max="5581" width="10.59765625" style="1" customWidth="1"/>
    <col min="5582" max="5830" width="9" style="1"/>
    <col min="5831" max="5831" width="1.19921875" style="1" customWidth="1"/>
    <col min="5832" max="5832" width="70.59765625" style="1" customWidth="1"/>
    <col min="5833" max="5837" width="10.59765625" style="1" customWidth="1"/>
    <col min="5838" max="6086" width="9" style="1"/>
    <col min="6087" max="6087" width="1.19921875" style="1" customWidth="1"/>
    <col min="6088" max="6088" width="70.59765625" style="1" customWidth="1"/>
    <col min="6089" max="6093" width="10.59765625" style="1" customWidth="1"/>
    <col min="6094" max="6342" width="9" style="1"/>
    <col min="6343" max="6343" width="1.19921875" style="1" customWidth="1"/>
    <col min="6344" max="6344" width="70.59765625" style="1" customWidth="1"/>
    <col min="6345" max="6349" width="10.59765625" style="1" customWidth="1"/>
    <col min="6350" max="6598" width="9" style="1"/>
    <col min="6599" max="6599" width="1.19921875" style="1" customWidth="1"/>
    <col min="6600" max="6600" width="70.59765625" style="1" customWidth="1"/>
    <col min="6601" max="6605" width="10.59765625" style="1" customWidth="1"/>
    <col min="6606" max="6854" width="9" style="1"/>
    <col min="6855" max="6855" width="1.19921875" style="1" customWidth="1"/>
    <col min="6856" max="6856" width="70.59765625" style="1" customWidth="1"/>
    <col min="6857" max="6861" width="10.59765625" style="1" customWidth="1"/>
    <col min="6862" max="7110" width="9" style="1"/>
    <col min="7111" max="7111" width="1.19921875" style="1" customWidth="1"/>
    <col min="7112" max="7112" width="70.59765625" style="1" customWidth="1"/>
    <col min="7113" max="7117" width="10.59765625" style="1" customWidth="1"/>
    <col min="7118" max="7366" width="9" style="1"/>
    <col min="7367" max="7367" width="1.19921875" style="1" customWidth="1"/>
    <col min="7368" max="7368" width="70.59765625" style="1" customWidth="1"/>
    <col min="7369" max="7373" width="10.59765625" style="1" customWidth="1"/>
    <col min="7374" max="7622" width="9" style="1"/>
    <col min="7623" max="7623" width="1.19921875" style="1" customWidth="1"/>
    <col min="7624" max="7624" width="70.59765625" style="1" customWidth="1"/>
    <col min="7625" max="7629" width="10.59765625" style="1" customWidth="1"/>
    <col min="7630" max="7878" width="9" style="1"/>
    <col min="7879" max="7879" width="1.19921875" style="1" customWidth="1"/>
    <col min="7880" max="7880" width="70.59765625" style="1" customWidth="1"/>
    <col min="7881" max="7885" width="10.59765625" style="1" customWidth="1"/>
    <col min="7886" max="8134" width="9" style="1"/>
    <col min="8135" max="8135" width="1.19921875" style="1" customWidth="1"/>
    <col min="8136" max="8136" width="70.59765625" style="1" customWidth="1"/>
    <col min="8137" max="8141" width="10.59765625" style="1" customWidth="1"/>
    <col min="8142" max="8390" width="9" style="1"/>
    <col min="8391" max="8391" width="1.19921875" style="1" customWidth="1"/>
    <col min="8392" max="8392" width="70.59765625" style="1" customWidth="1"/>
    <col min="8393" max="8397" width="10.59765625" style="1" customWidth="1"/>
    <col min="8398" max="8646" width="9" style="1"/>
    <col min="8647" max="8647" width="1.19921875" style="1" customWidth="1"/>
    <col min="8648" max="8648" width="70.59765625" style="1" customWidth="1"/>
    <col min="8649" max="8653" width="10.59765625" style="1" customWidth="1"/>
    <col min="8654" max="8902" width="9" style="1"/>
    <col min="8903" max="8903" width="1.19921875" style="1" customWidth="1"/>
    <col min="8904" max="8904" width="70.59765625" style="1" customWidth="1"/>
    <col min="8905" max="8909" width="10.59765625" style="1" customWidth="1"/>
    <col min="8910" max="9158" width="9" style="1"/>
    <col min="9159" max="9159" width="1.19921875" style="1" customWidth="1"/>
    <col min="9160" max="9160" width="70.59765625" style="1" customWidth="1"/>
    <col min="9161" max="9165" width="10.59765625" style="1" customWidth="1"/>
    <col min="9166" max="9414" width="9" style="1"/>
    <col min="9415" max="9415" width="1.19921875" style="1" customWidth="1"/>
    <col min="9416" max="9416" width="70.59765625" style="1" customWidth="1"/>
    <col min="9417" max="9421" width="10.59765625" style="1" customWidth="1"/>
    <col min="9422" max="9670" width="9" style="1"/>
    <col min="9671" max="9671" width="1.19921875" style="1" customWidth="1"/>
    <col min="9672" max="9672" width="70.59765625" style="1" customWidth="1"/>
    <col min="9673" max="9677" width="10.59765625" style="1" customWidth="1"/>
    <col min="9678" max="9926" width="9" style="1"/>
    <col min="9927" max="9927" width="1.19921875" style="1" customWidth="1"/>
    <col min="9928" max="9928" width="70.59765625" style="1" customWidth="1"/>
    <col min="9929" max="9933" width="10.59765625" style="1" customWidth="1"/>
    <col min="9934" max="10182" width="9" style="1"/>
    <col min="10183" max="10183" width="1.19921875" style="1" customWidth="1"/>
    <col min="10184" max="10184" width="70.59765625" style="1" customWidth="1"/>
    <col min="10185" max="10189" width="10.59765625" style="1" customWidth="1"/>
    <col min="10190" max="10438" width="9" style="1"/>
    <col min="10439" max="10439" width="1.19921875" style="1" customWidth="1"/>
    <col min="10440" max="10440" width="70.59765625" style="1" customWidth="1"/>
    <col min="10441" max="10445" width="10.59765625" style="1" customWidth="1"/>
    <col min="10446" max="10694" width="9" style="1"/>
    <col min="10695" max="10695" width="1.19921875" style="1" customWidth="1"/>
    <col min="10696" max="10696" width="70.59765625" style="1" customWidth="1"/>
    <col min="10697" max="10701" width="10.59765625" style="1" customWidth="1"/>
    <col min="10702" max="10950" width="9" style="1"/>
    <col min="10951" max="10951" width="1.19921875" style="1" customWidth="1"/>
    <col min="10952" max="10952" width="70.59765625" style="1" customWidth="1"/>
    <col min="10953" max="10957" width="10.59765625" style="1" customWidth="1"/>
    <col min="10958" max="11206" width="9" style="1"/>
    <col min="11207" max="11207" width="1.19921875" style="1" customWidth="1"/>
    <col min="11208" max="11208" width="70.59765625" style="1" customWidth="1"/>
    <col min="11209" max="11213" width="10.59765625" style="1" customWidth="1"/>
    <col min="11214" max="11462" width="9" style="1"/>
    <col min="11463" max="11463" width="1.19921875" style="1" customWidth="1"/>
    <col min="11464" max="11464" width="70.59765625" style="1" customWidth="1"/>
    <col min="11465" max="11469" width="10.59765625" style="1" customWidth="1"/>
    <col min="11470" max="11718" width="9" style="1"/>
    <col min="11719" max="11719" width="1.19921875" style="1" customWidth="1"/>
    <col min="11720" max="11720" width="70.59765625" style="1" customWidth="1"/>
    <col min="11721" max="11725" width="10.59765625" style="1" customWidth="1"/>
    <col min="11726" max="11974" width="9" style="1"/>
    <col min="11975" max="11975" width="1.19921875" style="1" customWidth="1"/>
    <col min="11976" max="11976" width="70.59765625" style="1" customWidth="1"/>
    <col min="11977" max="11981" width="10.59765625" style="1" customWidth="1"/>
    <col min="11982" max="12230" width="9" style="1"/>
    <col min="12231" max="12231" width="1.19921875" style="1" customWidth="1"/>
    <col min="12232" max="12232" width="70.59765625" style="1" customWidth="1"/>
    <col min="12233" max="12237" width="10.59765625" style="1" customWidth="1"/>
    <col min="12238" max="12486" width="9" style="1"/>
    <col min="12487" max="12487" width="1.19921875" style="1" customWidth="1"/>
    <col min="12488" max="12488" width="70.59765625" style="1" customWidth="1"/>
    <col min="12489" max="12493" width="10.59765625" style="1" customWidth="1"/>
    <col min="12494" max="12742" width="9" style="1"/>
    <col min="12743" max="12743" width="1.19921875" style="1" customWidth="1"/>
    <col min="12744" max="12744" width="70.59765625" style="1" customWidth="1"/>
    <col min="12745" max="12749" width="10.59765625" style="1" customWidth="1"/>
    <col min="12750" max="12998" width="9" style="1"/>
    <col min="12999" max="12999" width="1.19921875" style="1" customWidth="1"/>
    <col min="13000" max="13000" width="70.59765625" style="1" customWidth="1"/>
    <col min="13001" max="13005" width="10.59765625" style="1" customWidth="1"/>
    <col min="13006" max="13254" width="9" style="1"/>
    <col min="13255" max="13255" width="1.19921875" style="1" customWidth="1"/>
    <col min="13256" max="13256" width="70.59765625" style="1" customWidth="1"/>
    <col min="13257" max="13261" width="10.59765625" style="1" customWidth="1"/>
    <col min="13262" max="13510" width="9" style="1"/>
    <col min="13511" max="13511" width="1.19921875" style="1" customWidth="1"/>
    <col min="13512" max="13512" width="70.59765625" style="1" customWidth="1"/>
    <col min="13513" max="13517" width="10.59765625" style="1" customWidth="1"/>
    <col min="13518" max="13766" width="9" style="1"/>
    <col min="13767" max="13767" width="1.19921875" style="1" customWidth="1"/>
    <col min="13768" max="13768" width="70.59765625" style="1" customWidth="1"/>
    <col min="13769" max="13773" width="10.59765625" style="1" customWidth="1"/>
    <col min="13774" max="14022" width="9" style="1"/>
    <col min="14023" max="14023" width="1.19921875" style="1" customWidth="1"/>
    <col min="14024" max="14024" width="70.59765625" style="1" customWidth="1"/>
    <col min="14025" max="14029" width="10.59765625" style="1" customWidth="1"/>
    <col min="14030" max="14278" width="9" style="1"/>
    <col min="14279" max="14279" width="1.19921875" style="1" customWidth="1"/>
    <col min="14280" max="14280" width="70.59765625" style="1" customWidth="1"/>
    <col min="14281" max="14285" width="10.59765625" style="1" customWidth="1"/>
    <col min="14286" max="14534" width="9" style="1"/>
    <col min="14535" max="14535" width="1.19921875" style="1" customWidth="1"/>
    <col min="14536" max="14536" width="70.59765625" style="1" customWidth="1"/>
    <col min="14537" max="14541" width="10.59765625" style="1" customWidth="1"/>
    <col min="14542" max="14790" width="9" style="1"/>
    <col min="14791" max="14791" width="1.19921875" style="1" customWidth="1"/>
    <col min="14792" max="14792" width="70.59765625" style="1" customWidth="1"/>
    <col min="14793" max="14797" width="10.59765625" style="1" customWidth="1"/>
    <col min="14798" max="15046" width="9" style="1"/>
    <col min="15047" max="15047" width="1.19921875" style="1" customWidth="1"/>
    <col min="15048" max="15048" width="70.59765625" style="1" customWidth="1"/>
    <col min="15049" max="15053" width="10.59765625" style="1" customWidth="1"/>
    <col min="15054" max="15302" width="9" style="1"/>
    <col min="15303" max="15303" width="1.19921875" style="1" customWidth="1"/>
    <col min="15304" max="15304" width="70.59765625" style="1" customWidth="1"/>
    <col min="15305" max="15309" width="10.59765625" style="1" customWidth="1"/>
    <col min="15310" max="15558" width="9" style="1"/>
    <col min="15559" max="15559" width="1.19921875" style="1" customWidth="1"/>
    <col min="15560" max="15560" width="70.59765625" style="1" customWidth="1"/>
    <col min="15561" max="15565" width="10.59765625" style="1" customWidth="1"/>
    <col min="15566" max="16384" width="9" style="1"/>
  </cols>
  <sheetData>
    <row r="1" spans="1:25" ht="13.8" x14ac:dyDescent="0.25">
      <c r="A1" s="11" t="s">
        <v>13</v>
      </c>
      <c r="B1" s="61"/>
      <c r="C1" s="61"/>
      <c r="D1" s="61"/>
      <c r="E1" s="37"/>
      <c r="G1" s="37"/>
    </row>
    <row r="2" spans="1:25" x14ac:dyDescent="0.25">
      <c r="A2" s="61"/>
      <c r="B2" s="61"/>
      <c r="C2" s="61"/>
      <c r="D2" s="61"/>
    </row>
    <row r="3" spans="1:25" ht="32.25" customHeight="1" x14ac:dyDescent="0.25">
      <c r="A3" s="679" t="s">
        <v>1037</v>
      </c>
      <c r="B3" s="679"/>
      <c r="C3" s="679"/>
      <c r="D3" s="679"/>
      <c r="E3" s="679"/>
      <c r="F3" s="679"/>
      <c r="G3" s="679"/>
      <c r="H3" s="679"/>
      <c r="I3" s="679"/>
      <c r="J3" s="679"/>
      <c r="K3" s="679"/>
    </row>
    <row r="4" spans="1:25" ht="13.5" customHeight="1" x14ac:dyDescent="0.25">
      <c r="A4" s="11"/>
      <c r="B4" s="11"/>
    </row>
    <row r="5" spans="1:25" ht="50.4" customHeight="1" x14ac:dyDescent="0.25">
      <c r="A5" s="683" t="s">
        <v>829</v>
      </c>
      <c r="B5" s="683"/>
      <c r="C5" s="683"/>
      <c r="D5" s="683"/>
      <c r="E5" s="683"/>
      <c r="F5" s="683"/>
      <c r="G5" s="683"/>
      <c r="H5" s="683"/>
      <c r="I5" s="683"/>
      <c r="J5" s="683"/>
      <c r="K5" s="683"/>
    </row>
    <row r="6" spans="1:25" s="580" customFormat="1" ht="12" customHeight="1" thickBot="1" x14ac:dyDescent="0.3">
      <c r="A6" s="597"/>
      <c r="B6" s="597"/>
      <c r="C6" s="597"/>
      <c r="D6" s="597"/>
      <c r="E6" s="597"/>
      <c r="F6" s="597"/>
      <c r="G6" s="597"/>
      <c r="H6" s="597"/>
      <c r="I6" s="597"/>
      <c r="J6" s="597"/>
      <c r="K6" s="597"/>
    </row>
    <row r="7" spans="1:25" ht="15" customHeight="1" thickBot="1" x14ac:dyDescent="0.3">
      <c r="A7" s="607"/>
      <c r="B7" s="680" t="s">
        <v>1027</v>
      </c>
      <c r="C7" s="681"/>
      <c r="D7" s="681"/>
      <c r="E7" s="681"/>
      <c r="F7" s="681"/>
      <c r="G7" s="681"/>
      <c r="H7" s="681"/>
      <c r="I7" s="681"/>
      <c r="J7" s="681"/>
      <c r="K7" s="681"/>
      <c r="L7" s="681"/>
      <c r="M7" s="681"/>
      <c r="N7" s="680" t="s">
        <v>1028</v>
      </c>
      <c r="O7" s="681"/>
      <c r="P7" s="681"/>
      <c r="Q7" s="681"/>
      <c r="R7" s="681"/>
      <c r="S7" s="681"/>
      <c r="T7" s="681"/>
      <c r="U7" s="681"/>
      <c r="V7" s="681"/>
      <c r="W7" s="681"/>
      <c r="X7" s="681"/>
      <c r="Y7" s="681"/>
    </row>
    <row r="8" spans="1:25" ht="15" customHeight="1" x14ac:dyDescent="0.25">
      <c r="B8" s="682" t="s">
        <v>116</v>
      </c>
      <c r="C8" s="682"/>
      <c r="D8" s="682"/>
      <c r="E8" s="682"/>
      <c r="F8" s="682"/>
      <c r="H8" s="682" t="s">
        <v>146</v>
      </c>
      <c r="I8" s="682"/>
      <c r="J8" s="682"/>
      <c r="K8" s="682"/>
      <c r="L8" s="682"/>
      <c r="M8" s="682"/>
      <c r="N8" s="682" t="s">
        <v>116</v>
      </c>
      <c r="O8" s="682"/>
      <c r="P8" s="682"/>
      <c r="Q8" s="682"/>
      <c r="R8" s="682"/>
      <c r="S8" s="580"/>
      <c r="T8" s="682" t="s">
        <v>146</v>
      </c>
      <c r="U8" s="682"/>
      <c r="V8" s="682"/>
      <c r="W8" s="682"/>
      <c r="X8" s="682"/>
      <c r="Y8" s="682"/>
    </row>
    <row r="9" spans="1:25" ht="27" thickBot="1" x14ac:dyDescent="0.3">
      <c r="A9" s="84"/>
      <c r="B9" s="602" t="s">
        <v>117</v>
      </c>
      <c r="C9" s="602" t="s">
        <v>122</v>
      </c>
      <c r="D9" s="602" t="s">
        <v>147</v>
      </c>
      <c r="E9" s="602" t="s">
        <v>148</v>
      </c>
      <c r="F9" s="602" t="s">
        <v>149</v>
      </c>
      <c r="G9" s="210"/>
      <c r="H9" s="603" t="s">
        <v>109</v>
      </c>
      <c r="I9" s="604" t="s">
        <v>110</v>
      </c>
      <c r="J9" s="604" t="s">
        <v>984</v>
      </c>
      <c r="K9" s="605" t="s">
        <v>985</v>
      </c>
      <c r="L9" s="606" t="s">
        <v>986</v>
      </c>
      <c r="M9" s="604" t="s">
        <v>643</v>
      </c>
      <c r="N9" s="602" t="s">
        <v>117</v>
      </c>
      <c r="O9" s="602" t="s">
        <v>122</v>
      </c>
      <c r="P9" s="602" t="s">
        <v>147</v>
      </c>
      <c r="Q9" s="602" t="s">
        <v>148</v>
      </c>
      <c r="R9" s="602" t="s">
        <v>149</v>
      </c>
      <c r="S9" s="594"/>
      <c r="T9" s="603" t="s">
        <v>109</v>
      </c>
      <c r="U9" s="604" t="s">
        <v>110</v>
      </c>
      <c r="V9" s="604" t="s">
        <v>984</v>
      </c>
      <c r="W9" s="605" t="s">
        <v>985</v>
      </c>
      <c r="X9" s="606" t="s">
        <v>986</v>
      </c>
      <c r="Y9" s="604" t="s">
        <v>643</v>
      </c>
    </row>
    <row r="10" spans="1:25" x14ac:dyDescent="0.25">
      <c r="A10" s="352"/>
      <c r="B10" s="352"/>
      <c r="E10" s="38"/>
      <c r="N10" s="597"/>
      <c r="O10" s="580"/>
      <c r="P10" s="580"/>
      <c r="Q10" s="585"/>
      <c r="R10" s="580"/>
      <c r="S10" s="580"/>
      <c r="T10" s="580"/>
      <c r="U10" s="580"/>
      <c r="V10" s="580"/>
      <c r="W10" s="580"/>
      <c r="X10" s="580"/>
      <c r="Y10" s="580"/>
    </row>
    <row r="11" spans="1:25" ht="15" customHeight="1" x14ac:dyDescent="0.25">
      <c r="A11" s="352"/>
      <c r="B11" s="63"/>
      <c r="C11" s="52"/>
      <c r="D11" s="54"/>
      <c r="N11" s="589"/>
      <c r="O11" s="587"/>
      <c r="P11" s="588"/>
      <c r="Q11" s="580"/>
      <c r="R11" s="580"/>
      <c r="S11" s="580"/>
      <c r="T11" s="580"/>
      <c r="U11" s="580"/>
      <c r="V11" s="580"/>
      <c r="W11" s="580"/>
      <c r="X11" s="580"/>
      <c r="Y11" s="580"/>
    </row>
    <row r="12" spans="1:25" ht="15" customHeight="1" x14ac:dyDescent="0.25">
      <c r="A12" s="351" t="s">
        <v>150</v>
      </c>
      <c r="B12" s="591" t="s">
        <v>876</v>
      </c>
      <c r="C12" s="591"/>
      <c r="D12" s="591"/>
      <c r="E12" s="591"/>
      <c r="F12" s="591"/>
      <c r="G12" s="611"/>
      <c r="H12" s="598" t="s">
        <v>877</v>
      </c>
      <c r="I12" s="591"/>
      <c r="J12" s="611"/>
      <c r="K12" s="611"/>
      <c r="L12" s="611"/>
      <c r="M12" s="611"/>
      <c r="N12" s="615" t="s">
        <v>1029</v>
      </c>
      <c r="O12" s="615"/>
      <c r="P12" s="615"/>
      <c r="Q12" s="615"/>
      <c r="R12" s="615"/>
      <c r="S12" s="616"/>
      <c r="T12" s="617" t="s">
        <v>1030</v>
      </c>
      <c r="U12" s="615"/>
      <c r="V12" s="616"/>
      <c r="W12" s="616"/>
      <c r="X12" s="616"/>
      <c r="Y12" s="616"/>
    </row>
    <row r="13" spans="1:25" ht="15" customHeight="1" x14ac:dyDescent="0.25">
      <c r="A13" s="351"/>
      <c r="B13" s="94"/>
      <c r="C13" s="49"/>
      <c r="D13" s="54"/>
      <c r="H13" s="352"/>
      <c r="J13" s="38"/>
      <c r="N13" s="591"/>
      <c r="O13" s="586"/>
      <c r="P13" s="588"/>
      <c r="Q13" s="580"/>
      <c r="R13" s="580"/>
      <c r="S13" s="580"/>
      <c r="T13" s="597"/>
      <c r="U13" s="580"/>
      <c r="V13" s="585"/>
      <c r="W13" s="580"/>
      <c r="X13" s="580"/>
      <c r="Y13" s="580"/>
    </row>
    <row r="14" spans="1:25" ht="15" customHeight="1" x14ac:dyDescent="0.25">
      <c r="A14" s="351" t="s">
        <v>151</v>
      </c>
      <c r="B14" s="94"/>
      <c r="C14" s="49"/>
      <c r="D14" s="54"/>
      <c r="H14" s="352"/>
      <c r="J14" s="38"/>
      <c r="N14" s="591"/>
      <c r="O14" s="586"/>
      <c r="P14" s="588"/>
      <c r="Q14" s="580"/>
      <c r="R14" s="580"/>
      <c r="S14" s="580"/>
      <c r="T14" s="597"/>
      <c r="U14" s="580"/>
      <c r="V14" s="585"/>
      <c r="W14" s="580"/>
      <c r="X14" s="580"/>
      <c r="Y14" s="580"/>
    </row>
    <row r="15" spans="1:25" ht="15" customHeight="1" x14ac:dyDescent="0.25">
      <c r="A15" s="173" t="s">
        <v>100</v>
      </c>
      <c r="B15" s="612" t="s">
        <v>878</v>
      </c>
      <c r="C15" s="612"/>
      <c r="D15" s="612"/>
      <c r="E15" s="612"/>
      <c r="F15" s="612"/>
      <c r="G15" s="612"/>
      <c r="H15" s="612" t="s">
        <v>879</v>
      </c>
      <c r="I15" s="612"/>
      <c r="J15" s="613"/>
      <c r="K15" s="613"/>
      <c r="L15" s="613"/>
      <c r="M15" s="613"/>
      <c r="N15" s="618" t="s">
        <v>1033</v>
      </c>
      <c r="O15" s="618"/>
      <c r="P15" s="618"/>
      <c r="Q15" s="618"/>
      <c r="R15" s="618"/>
      <c r="S15" s="618"/>
      <c r="T15" s="618" t="s">
        <v>1031</v>
      </c>
      <c r="U15" s="618"/>
      <c r="V15" s="588"/>
      <c r="W15" s="588"/>
      <c r="X15" s="588"/>
      <c r="Y15" s="588"/>
    </row>
    <row r="16" spans="1:25" ht="15" customHeight="1" x14ac:dyDescent="0.25">
      <c r="A16" s="27" t="s">
        <v>101</v>
      </c>
      <c r="B16" s="612"/>
      <c r="C16" s="612"/>
      <c r="D16" s="612"/>
      <c r="E16" s="612"/>
      <c r="F16" s="612"/>
      <c r="G16" s="612"/>
      <c r="H16" s="612"/>
      <c r="I16" s="612"/>
      <c r="J16" s="613"/>
      <c r="K16" s="613"/>
      <c r="L16" s="613"/>
      <c r="M16" s="613"/>
      <c r="N16" s="618"/>
      <c r="O16" s="618"/>
      <c r="P16" s="618"/>
      <c r="Q16" s="618"/>
      <c r="R16" s="618"/>
      <c r="S16" s="618"/>
      <c r="T16" s="618"/>
      <c r="U16" s="618"/>
      <c r="V16" s="588"/>
      <c r="W16" s="588"/>
      <c r="X16" s="588"/>
      <c r="Y16" s="588"/>
    </row>
    <row r="17" spans="1:25" ht="15" customHeight="1" x14ac:dyDescent="0.25">
      <c r="A17" s="27" t="s">
        <v>102</v>
      </c>
      <c r="B17" s="612"/>
      <c r="C17" s="612"/>
      <c r="D17" s="612"/>
      <c r="E17" s="612"/>
      <c r="F17" s="612"/>
      <c r="G17" s="612"/>
      <c r="H17" s="612"/>
      <c r="I17" s="612"/>
      <c r="J17" s="613"/>
      <c r="K17" s="613"/>
      <c r="L17" s="613"/>
      <c r="M17" s="613"/>
      <c r="N17" s="618"/>
      <c r="O17" s="618"/>
      <c r="P17" s="618"/>
      <c r="Q17" s="618"/>
      <c r="R17" s="618"/>
      <c r="S17" s="618"/>
      <c r="T17" s="618"/>
      <c r="U17" s="618"/>
      <c r="V17" s="588"/>
      <c r="W17" s="588"/>
      <c r="X17" s="588"/>
      <c r="Y17" s="588"/>
    </row>
    <row r="18" spans="1:25" ht="15" customHeight="1" x14ac:dyDescent="0.25">
      <c r="A18" s="25"/>
      <c r="B18" s="612"/>
      <c r="C18" s="612"/>
      <c r="D18" s="612"/>
      <c r="E18" s="612"/>
      <c r="F18" s="612"/>
      <c r="G18" s="612"/>
      <c r="H18" s="612"/>
      <c r="I18" s="612"/>
      <c r="J18" s="613"/>
      <c r="K18" s="613"/>
      <c r="L18" s="613"/>
      <c r="M18" s="613"/>
      <c r="N18" s="618"/>
      <c r="O18" s="618"/>
      <c r="P18" s="618"/>
      <c r="Q18" s="618"/>
      <c r="R18" s="618"/>
      <c r="S18" s="618"/>
      <c r="T18" s="618"/>
      <c r="U18" s="618"/>
      <c r="V18" s="588"/>
      <c r="W18" s="588"/>
      <c r="X18" s="588"/>
      <c r="Y18" s="588"/>
    </row>
    <row r="19" spans="1:25" ht="15" customHeight="1" x14ac:dyDescent="0.25">
      <c r="A19" s="173" t="s">
        <v>103</v>
      </c>
      <c r="B19" s="612" t="s">
        <v>880</v>
      </c>
      <c r="C19" s="612"/>
      <c r="D19" s="612"/>
      <c r="E19" s="612"/>
      <c r="F19" s="612"/>
      <c r="G19" s="612"/>
      <c r="H19" s="612" t="s">
        <v>881</v>
      </c>
      <c r="I19" s="612"/>
      <c r="J19" s="613"/>
      <c r="K19" s="613"/>
      <c r="L19" s="613"/>
      <c r="M19" s="613"/>
      <c r="N19" s="618" t="s">
        <v>1034</v>
      </c>
      <c r="O19" s="618"/>
      <c r="P19" s="618"/>
      <c r="Q19" s="618"/>
      <c r="R19" s="618"/>
      <c r="S19" s="618"/>
      <c r="T19" s="618" t="s">
        <v>1032</v>
      </c>
      <c r="U19" s="618"/>
      <c r="V19" s="588"/>
      <c r="W19" s="588"/>
      <c r="X19" s="588"/>
      <c r="Y19" s="588"/>
    </row>
    <row r="20" spans="1:25" ht="15" customHeight="1" x14ac:dyDescent="0.25">
      <c r="A20" s="27" t="s">
        <v>104</v>
      </c>
      <c r="B20" s="612"/>
      <c r="C20" s="612"/>
      <c r="D20" s="612"/>
      <c r="E20" s="612"/>
      <c r="F20" s="612"/>
      <c r="G20" s="612"/>
      <c r="H20" s="612"/>
      <c r="I20" s="612"/>
      <c r="J20" s="613"/>
      <c r="K20" s="613"/>
      <c r="L20" s="613"/>
      <c r="M20" s="613"/>
      <c r="N20" s="618"/>
      <c r="O20" s="618"/>
      <c r="P20" s="618"/>
      <c r="Q20" s="618"/>
      <c r="R20" s="618"/>
      <c r="S20" s="618"/>
      <c r="T20" s="618"/>
      <c r="U20" s="618"/>
      <c r="V20" s="588"/>
      <c r="W20" s="588"/>
      <c r="X20" s="588"/>
      <c r="Y20" s="588"/>
    </row>
    <row r="21" spans="1:25" ht="15" customHeight="1" x14ac:dyDescent="0.25">
      <c r="A21" s="27" t="s">
        <v>105</v>
      </c>
      <c r="B21" s="612"/>
      <c r="C21" s="612"/>
      <c r="D21" s="612"/>
      <c r="E21" s="612"/>
      <c r="F21" s="612"/>
      <c r="G21" s="612"/>
      <c r="H21" s="612"/>
      <c r="I21" s="612"/>
      <c r="J21" s="613"/>
      <c r="K21" s="613"/>
      <c r="L21" s="613"/>
      <c r="M21" s="613"/>
      <c r="N21" s="618"/>
      <c r="O21" s="618"/>
      <c r="P21" s="618"/>
      <c r="Q21" s="618"/>
      <c r="R21" s="618"/>
      <c r="S21" s="618"/>
      <c r="T21" s="618"/>
      <c r="U21" s="618"/>
      <c r="V21" s="588"/>
      <c r="W21" s="588"/>
      <c r="X21" s="588"/>
      <c r="Y21" s="588"/>
    </row>
    <row r="22" spans="1:25" ht="15" customHeight="1" x14ac:dyDescent="0.25">
      <c r="A22" s="27" t="s">
        <v>106</v>
      </c>
      <c r="B22" s="612"/>
      <c r="C22" s="612"/>
      <c r="D22" s="612"/>
      <c r="E22" s="612"/>
      <c r="F22" s="612"/>
      <c r="G22" s="612"/>
      <c r="H22" s="612"/>
      <c r="I22" s="612"/>
      <c r="J22" s="613"/>
      <c r="K22" s="613"/>
      <c r="L22" s="613"/>
      <c r="M22" s="613"/>
      <c r="N22" s="618"/>
      <c r="O22" s="618"/>
      <c r="P22" s="618"/>
      <c r="Q22" s="618"/>
      <c r="R22" s="618"/>
      <c r="S22" s="618"/>
      <c r="T22" s="618"/>
      <c r="U22" s="618"/>
      <c r="V22" s="588"/>
      <c r="W22" s="588"/>
      <c r="X22" s="588"/>
      <c r="Y22" s="588"/>
    </row>
    <row r="23" spans="1:25" ht="15" customHeight="1" x14ac:dyDescent="0.25">
      <c r="A23" s="27" t="s">
        <v>107</v>
      </c>
      <c r="B23" s="612"/>
      <c r="C23" s="612"/>
      <c r="D23" s="612"/>
      <c r="E23" s="612"/>
      <c r="F23" s="612"/>
      <c r="G23" s="612"/>
      <c r="H23" s="612"/>
      <c r="I23" s="612"/>
      <c r="J23" s="613"/>
      <c r="K23" s="613"/>
      <c r="L23" s="613"/>
      <c r="M23" s="613"/>
      <c r="N23" s="618"/>
      <c r="O23" s="618"/>
      <c r="P23" s="618"/>
      <c r="Q23" s="618"/>
      <c r="R23" s="618"/>
      <c r="S23" s="618"/>
      <c r="T23" s="618"/>
      <c r="U23" s="618"/>
      <c r="V23" s="588"/>
      <c r="W23" s="588"/>
      <c r="X23" s="588"/>
      <c r="Y23" s="588"/>
    </row>
    <row r="24" spans="1:25" ht="15" customHeight="1" x14ac:dyDescent="0.25">
      <c r="A24" s="25"/>
      <c r="B24" s="612"/>
      <c r="C24" s="612"/>
      <c r="D24" s="612"/>
      <c r="E24" s="612"/>
      <c r="F24" s="612"/>
      <c r="G24" s="612"/>
      <c r="H24" s="612"/>
      <c r="I24" s="612"/>
      <c r="J24" s="613"/>
      <c r="K24" s="613"/>
      <c r="L24" s="613"/>
      <c r="M24" s="613"/>
      <c r="N24" s="618"/>
      <c r="O24" s="618"/>
      <c r="P24" s="618"/>
      <c r="Q24" s="618"/>
      <c r="R24" s="618"/>
      <c r="S24" s="618"/>
      <c r="T24" s="618"/>
      <c r="U24" s="618"/>
      <c r="V24" s="588"/>
      <c r="W24" s="588"/>
      <c r="X24" s="588"/>
      <c r="Y24" s="588"/>
    </row>
    <row r="25" spans="1:25" ht="15" customHeight="1" x14ac:dyDescent="0.25">
      <c r="A25" s="351" t="s">
        <v>146</v>
      </c>
      <c r="B25" s="612"/>
      <c r="C25" s="612"/>
      <c r="D25" s="612"/>
      <c r="E25" s="612"/>
      <c r="F25" s="612"/>
      <c r="G25" s="612"/>
      <c r="H25" s="612"/>
      <c r="I25" s="612"/>
      <c r="J25" s="613"/>
      <c r="K25" s="613"/>
      <c r="L25" s="613"/>
      <c r="M25" s="613"/>
      <c r="N25" s="618"/>
      <c r="O25" s="618"/>
      <c r="P25" s="618"/>
      <c r="Q25" s="618"/>
      <c r="R25" s="618"/>
      <c r="S25" s="618"/>
      <c r="T25" s="618"/>
      <c r="U25" s="618"/>
      <c r="V25" s="588"/>
      <c r="W25" s="588"/>
      <c r="X25" s="588"/>
      <c r="Y25" s="588"/>
    </row>
    <row r="26" spans="1:25" ht="15" customHeight="1" x14ac:dyDescent="0.25">
      <c r="A26" s="122" t="s">
        <v>109</v>
      </c>
      <c r="B26" s="612" t="s">
        <v>882</v>
      </c>
      <c r="C26" s="612"/>
      <c r="D26" s="612"/>
      <c r="E26" s="612"/>
      <c r="F26" s="612"/>
      <c r="G26" s="612"/>
      <c r="H26" s="612" t="s">
        <v>883</v>
      </c>
      <c r="I26" s="614"/>
      <c r="J26" s="613"/>
      <c r="K26" s="613"/>
      <c r="L26" s="613"/>
      <c r="M26" s="613"/>
      <c r="N26" s="618" t="s">
        <v>1035</v>
      </c>
      <c r="O26" s="618"/>
      <c r="P26" s="618"/>
      <c r="Q26" s="618"/>
      <c r="R26" s="618"/>
      <c r="S26" s="618"/>
      <c r="T26" s="618" t="s">
        <v>1036</v>
      </c>
      <c r="U26" s="619"/>
      <c r="V26" s="588"/>
      <c r="W26" s="588"/>
      <c r="X26" s="588"/>
      <c r="Y26" s="588"/>
    </row>
    <row r="27" spans="1:25" ht="15" customHeight="1" x14ac:dyDescent="0.25">
      <c r="A27" s="122" t="s">
        <v>110</v>
      </c>
      <c r="B27" s="612"/>
      <c r="C27" s="612"/>
      <c r="D27" s="612"/>
      <c r="E27" s="612"/>
      <c r="F27" s="612"/>
      <c r="G27" s="612"/>
      <c r="H27" s="614"/>
      <c r="I27" s="612"/>
      <c r="J27" s="613"/>
      <c r="K27" s="613"/>
      <c r="L27" s="613"/>
      <c r="M27" s="613"/>
      <c r="N27" s="618"/>
      <c r="O27" s="618"/>
      <c r="P27" s="618"/>
      <c r="Q27" s="618"/>
      <c r="R27" s="618"/>
      <c r="S27" s="618"/>
      <c r="T27" s="619"/>
      <c r="U27" s="618"/>
      <c r="V27" s="588"/>
      <c r="W27" s="588"/>
      <c r="X27" s="588"/>
      <c r="Y27" s="588"/>
    </row>
    <row r="28" spans="1:25" ht="15" customHeight="1" x14ac:dyDescent="0.25">
      <c r="A28" s="122" t="s">
        <v>984</v>
      </c>
      <c r="B28" s="612"/>
      <c r="C28" s="612"/>
      <c r="D28" s="612"/>
      <c r="E28" s="612"/>
      <c r="F28" s="612"/>
      <c r="G28" s="612"/>
      <c r="H28" s="614"/>
      <c r="I28" s="612"/>
      <c r="J28" s="613"/>
      <c r="K28" s="613"/>
      <c r="L28" s="613"/>
      <c r="M28" s="613"/>
      <c r="N28" s="618"/>
      <c r="O28" s="618"/>
      <c r="P28" s="618"/>
      <c r="Q28" s="618"/>
      <c r="R28" s="618"/>
      <c r="S28" s="618"/>
      <c r="T28" s="619"/>
      <c r="U28" s="618"/>
      <c r="V28" s="588"/>
      <c r="W28" s="588"/>
      <c r="X28" s="588"/>
      <c r="Y28" s="588"/>
    </row>
    <row r="29" spans="1:25" ht="15" customHeight="1" x14ac:dyDescent="0.25">
      <c r="A29" s="122" t="s">
        <v>985</v>
      </c>
      <c r="B29" s="612"/>
      <c r="C29" s="612"/>
      <c r="D29" s="612"/>
      <c r="E29" s="612"/>
      <c r="F29" s="612"/>
      <c r="G29" s="612"/>
      <c r="H29" s="614"/>
      <c r="I29" s="612"/>
      <c r="J29" s="613"/>
      <c r="K29" s="613"/>
      <c r="L29" s="613"/>
      <c r="M29" s="613"/>
      <c r="N29" s="618"/>
      <c r="O29" s="618"/>
      <c r="P29" s="618"/>
      <c r="Q29" s="618"/>
      <c r="R29" s="618"/>
      <c r="S29" s="618"/>
      <c r="T29" s="619"/>
      <c r="U29" s="618"/>
      <c r="V29" s="588"/>
      <c r="W29" s="588"/>
      <c r="X29" s="588"/>
      <c r="Y29" s="588"/>
    </row>
    <row r="30" spans="1:25" ht="15" customHeight="1" x14ac:dyDescent="0.25">
      <c r="A30" s="122" t="s">
        <v>986</v>
      </c>
      <c r="B30" s="612"/>
      <c r="C30" s="612"/>
      <c r="D30" s="612"/>
      <c r="E30" s="612"/>
      <c r="F30" s="612"/>
      <c r="G30" s="612"/>
      <c r="H30" s="614"/>
      <c r="I30" s="612"/>
      <c r="J30" s="613"/>
      <c r="K30" s="613"/>
      <c r="L30" s="613"/>
      <c r="M30" s="613"/>
      <c r="N30" s="618"/>
      <c r="O30" s="618"/>
      <c r="P30" s="618"/>
      <c r="Q30" s="618"/>
      <c r="R30" s="618"/>
      <c r="S30" s="618"/>
      <c r="T30" s="619"/>
      <c r="U30" s="618"/>
      <c r="V30" s="588"/>
      <c r="W30" s="588"/>
      <c r="X30" s="588"/>
      <c r="Y30" s="588"/>
    </row>
    <row r="31" spans="1:25" ht="15" customHeight="1" x14ac:dyDescent="0.25">
      <c r="A31" s="122" t="s">
        <v>643</v>
      </c>
      <c r="B31" s="612"/>
      <c r="C31" s="612"/>
      <c r="D31" s="612"/>
      <c r="E31" s="612"/>
      <c r="F31" s="612"/>
      <c r="G31" s="612"/>
      <c r="H31" s="614"/>
      <c r="I31" s="612"/>
      <c r="J31" s="613"/>
      <c r="K31" s="613"/>
      <c r="L31" s="613"/>
      <c r="M31" s="613"/>
      <c r="N31" s="618"/>
      <c r="O31" s="618"/>
      <c r="P31" s="618"/>
      <c r="Q31" s="618"/>
      <c r="R31" s="618"/>
      <c r="S31" s="618"/>
      <c r="T31" s="619"/>
      <c r="U31" s="618"/>
      <c r="V31" s="588"/>
      <c r="W31" s="588"/>
      <c r="X31" s="588"/>
      <c r="Y31" s="588"/>
    </row>
    <row r="32" spans="1:25" ht="13.8" thickBot="1" x14ac:dyDescent="0.3">
      <c r="A32" s="95"/>
      <c r="B32" s="95"/>
      <c r="C32" s="83"/>
      <c r="D32" s="83"/>
      <c r="E32" s="83"/>
      <c r="F32" s="83"/>
      <c r="G32" s="83"/>
      <c r="H32" s="83"/>
      <c r="I32" s="83"/>
      <c r="J32" s="83"/>
      <c r="K32" s="83"/>
      <c r="L32" s="83"/>
      <c r="M32" s="83"/>
      <c r="N32" s="590"/>
      <c r="O32" s="590"/>
      <c r="P32" s="590"/>
      <c r="Q32" s="590"/>
      <c r="R32" s="590"/>
      <c r="S32" s="590"/>
      <c r="T32" s="590"/>
      <c r="U32" s="590"/>
      <c r="V32" s="590"/>
      <c r="W32" s="590"/>
      <c r="X32" s="590"/>
      <c r="Y32" s="590"/>
    </row>
    <row r="33" spans="1:33" x14ac:dyDescent="0.25">
      <c r="A33" s="8"/>
      <c r="B33" s="8"/>
    </row>
    <row r="34" spans="1:33" ht="15" customHeight="1" x14ac:dyDescent="0.25">
      <c r="A34" s="673" t="s">
        <v>152</v>
      </c>
      <c r="B34" s="673"/>
      <c r="C34" s="673"/>
      <c r="D34" s="673"/>
      <c r="E34" s="673"/>
      <c r="F34" s="673"/>
    </row>
    <row r="35" spans="1:33" x14ac:dyDescent="0.25">
      <c r="A35" s="8"/>
      <c r="B35" s="75"/>
    </row>
    <row r="36" spans="1:33" ht="55.5" customHeight="1" x14ac:dyDescent="0.25">
      <c r="A36" s="673" t="s">
        <v>153</v>
      </c>
      <c r="B36" s="673"/>
      <c r="C36" s="673"/>
      <c r="D36" s="673"/>
      <c r="E36" s="673"/>
      <c r="F36" s="673"/>
      <c r="G36" s="673"/>
      <c r="H36" s="673"/>
      <c r="I36" s="673"/>
      <c r="J36" s="673"/>
      <c r="K36" s="673"/>
      <c r="L36" s="673"/>
      <c r="M36" s="673"/>
    </row>
    <row r="37" spans="1:33" x14ac:dyDescent="0.25">
      <c r="A37" s="352"/>
      <c r="B37" s="352"/>
    </row>
    <row r="38" spans="1:33" ht="15" customHeight="1" x14ac:dyDescent="0.25">
      <c r="A38" s="674" t="s">
        <v>93</v>
      </c>
      <c r="B38" s="674"/>
      <c r="C38" s="674"/>
      <c r="D38" s="674"/>
      <c r="E38" s="674"/>
      <c r="F38" s="674"/>
      <c r="G38" s="674"/>
      <c r="H38" s="674"/>
      <c r="I38" s="674"/>
      <c r="J38" s="674"/>
      <c r="K38" s="674"/>
      <c r="L38" s="674"/>
      <c r="M38" s="674"/>
      <c r="N38" s="38"/>
      <c r="O38" s="38"/>
      <c r="P38" s="38"/>
      <c r="Q38" s="38"/>
      <c r="R38" s="38"/>
      <c r="S38" s="38"/>
      <c r="T38" s="38"/>
      <c r="U38" s="38"/>
      <c r="V38" s="38"/>
      <c r="W38" s="38"/>
      <c r="X38" s="38"/>
      <c r="Y38" s="38"/>
      <c r="Z38" s="38"/>
      <c r="AA38" s="38"/>
      <c r="AB38" s="38"/>
      <c r="AC38" s="38"/>
      <c r="AD38" s="38"/>
      <c r="AE38" s="38"/>
      <c r="AF38" s="38"/>
    </row>
    <row r="39" spans="1:33" ht="28.05" customHeight="1" x14ac:dyDescent="0.25">
      <c r="A39" s="673" t="s">
        <v>94</v>
      </c>
      <c r="B39" s="673"/>
      <c r="C39" s="673"/>
      <c r="D39" s="673"/>
      <c r="E39" s="673"/>
      <c r="F39" s="673"/>
      <c r="G39" s="673"/>
      <c r="H39" s="673"/>
      <c r="I39" s="673"/>
      <c r="J39" s="673"/>
      <c r="K39" s="673"/>
      <c r="L39" s="673"/>
      <c r="M39" s="673"/>
      <c r="N39" s="38"/>
      <c r="O39" s="38"/>
      <c r="P39" s="38"/>
      <c r="Q39" s="38"/>
      <c r="R39" s="38"/>
      <c r="S39" s="38"/>
      <c r="T39" s="38"/>
      <c r="U39" s="38"/>
      <c r="V39" s="38"/>
      <c r="W39" s="38"/>
      <c r="X39" s="38"/>
      <c r="Y39" s="38"/>
      <c r="Z39" s="38"/>
      <c r="AA39" s="38"/>
      <c r="AB39" s="38"/>
      <c r="AC39" s="38"/>
      <c r="AD39" s="38"/>
      <c r="AE39" s="38"/>
      <c r="AF39" s="38"/>
      <c r="AG39" s="38"/>
    </row>
    <row r="40" spans="1:33" hidden="1" x14ac:dyDescent="0.25">
      <c r="L40" s="38"/>
    </row>
    <row r="42" spans="1:33" x14ac:dyDescent="0.25">
      <c r="L42" s="38"/>
      <c r="M42" s="38"/>
      <c r="N42" s="38"/>
    </row>
    <row r="45" spans="1:33" x14ac:dyDescent="0.25">
      <c r="L45" s="38"/>
      <c r="M45" s="38"/>
      <c r="N45" s="38"/>
    </row>
    <row r="46" spans="1:33" x14ac:dyDescent="0.25">
      <c r="L46" s="38"/>
      <c r="M46" s="38"/>
      <c r="N46" s="38"/>
    </row>
    <row r="47" spans="1:33" x14ac:dyDescent="0.25">
      <c r="L47" s="38"/>
      <c r="M47" s="38"/>
      <c r="N47" s="38"/>
    </row>
    <row r="48" spans="1:33" x14ac:dyDescent="0.25">
      <c r="L48" s="38"/>
      <c r="M48" s="38"/>
      <c r="N48" s="38"/>
    </row>
    <row r="49" spans="12:14" ht="38.25" customHeight="1" x14ac:dyDescent="0.25">
      <c r="L49" s="38"/>
      <c r="M49" s="38"/>
      <c r="N49" s="38"/>
    </row>
    <row r="50" spans="12:14" ht="51" customHeight="1" x14ac:dyDescent="0.25">
      <c r="L50" s="38"/>
      <c r="M50" s="38"/>
      <c r="N50" s="38"/>
    </row>
    <row r="51" spans="12:14" x14ac:dyDescent="0.25">
      <c r="L51" s="38"/>
      <c r="M51" s="38"/>
      <c r="N51" s="38"/>
    </row>
    <row r="52" spans="12:14" x14ac:dyDescent="0.25">
      <c r="L52" s="38"/>
      <c r="M52" s="38"/>
      <c r="N52" s="38"/>
    </row>
    <row r="53" spans="12:14" x14ac:dyDescent="0.25">
      <c r="L53" s="38"/>
      <c r="M53" s="38"/>
      <c r="N53" s="38"/>
    </row>
    <row r="54" spans="12:14" x14ac:dyDescent="0.25">
      <c r="L54" s="38"/>
      <c r="M54" s="38"/>
      <c r="N54" s="38"/>
    </row>
    <row r="55" spans="12:14" x14ac:dyDescent="0.25">
      <c r="L55" s="38"/>
      <c r="M55" s="38"/>
      <c r="N55" s="38"/>
    </row>
    <row r="56" spans="12:14" x14ac:dyDescent="0.25">
      <c r="L56" s="38"/>
      <c r="M56" s="38"/>
      <c r="N56" s="38"/>
    </row>
    <row r="57" spans="12:14" x14ac:dyDescent="0.25">
      <c r="L57" s="38"/>
      <c r="M57" s="38"/>
      <c r="N57" s="38"/>
    </row>
    <row r="58" spans="12:14" x14ac:dyDescent="0.25">
      <c r="L58" s="38"/>
      <c r="M58" s="38"/>
      <c r="N58" s="38"/>
    </row>
    <row r="59" spans="12:14" x14ac:dyDescent="0.25">
      <c r="L59" s="38"/>
      <c r="M59" s="38"/>
      <c r="N59" s="38"/>
    </row>
    <row r="60" spans="12:14" x14ac:dyDescent="0.25">
      <c r="L60" s="38"/>
      <c r="M60" s="38"/>
      <c r="N60" s="38"/>
    </row>
    <row r="61" spans="12:14" x14ac:dyDescent="0.25">
      <c r="L61" s="38"/>
      <c r="M61" s="38"/>
      <c r="N61" s="38"/>
    </row>
    <row r="62" spans="12:14" x14ac:dyDescent="0.25">
      <c r="L62" s="38"/>
      <c r="M62" s="38"/>
      <c r="N62" s="38"/>
    </row>
    <row r="63" spans="12:14" x14ac:dyDescent="0.25">
      <c r="L63" s="38"/>
      <c r="M63" s="38"/>
      <c r="N63" s="38"/>
    </row>
  </sheetData>
  <mergeCells count="12">
    <mergeCell ref="A3:K3"/>
    <mergeCell ref="A5:K5"/>
    <mergeCell ref="A36:M36"/>
    <mergeCell ref="A38:M38"/>
    <mergeCell ref="A39:M39"/>
    <mergeCell ref="H8:M8"/>
    <mergeCell ref="B7:M7"/>
    <mergeCell ref="N7:Y7"/>
    <mergeCell ref="N8:R8"/>
    <mergeCell ref="T8:Y8"/>
    <mergeCell ref="B8:F8"/>
    <mergeCell ref="A34:F34"/>
  </mergeCells>
  <pageMargins left="0.23622047244094491" right="0.23622047244094491" top="0.74803149606299213" bottom="0.74803149606299213" header="0.31496062992125984" footer="0.31496062992125984"/>
  <pageSetup paperSize="9" scale="8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workbookViewId="0"/>
  </sheetViews>
  <sheetFormatPr defaultColWidth="9" defaultRowHeight="13.2" x14ac:dyDescent="0.25"/>
  <cols>
    <col min="1" max="1" width="13.796875" style="1" customWidth="1"/>
    <col min="2" max="2" width="83.296875" style="1" customWidth="1"/>
    <col min="3" max="3" width="13.19921875" style="1" customWidth="1"/>
    <col min="4" max="4" width="10.5" style="1" customWidth="1"/>
    <col min="5" max="5" width="14.5" style="1" customWidth="1"/>
    <col min="6" max="6" width="11.796875" style="1" customWidth="1"/>
    <col min="7" max="200" width="9" style="1"/>
    <col min="201" max="201" width="1.19921875" style="1" customWidth="1"/>
    <col min="202" max="202" width="70.59765625" style="1" customWidth="1"/>
    <col min="203" max="207" width="10.59765625" style="1" customWidth="1"/>
    <col min="208" max="456" width="9" style="1"/>
    <col min="457" max="457" width="1.19921875" style="1" customWidth="1"/>
    <col min="458" max="458" width="70.59765625" style="1" customWidth="1"/>
    <col min="459" max="463" width="10.59765625" style="1" customWidth="1"/>
    <col min="464" max="712" width="9" style="1"/>
    <col min="713" max="713" width="1.19921875" style="1" customWidth="1"/>
    <col min="714" max="714" width="70.59765625" style="1" customWidth="1"/>
    <col min="715" max="719" width="10.59765625" style="1" customWidth="1"/>
    <col min="720" max="968" width="9" style="1"/>
    <col min="969" max="969" width="1.19921875" style="1" customWidth="1"/>
    <col min="970" max="970" width="70.59765625" style="1" customWidth="1"/>
    <col min="971" max="975" width="10.59765625" style="1" customWidth="1"/>
    <col min="976" max="1224" width="9" style="1"/>
    <col min="1225" max="1225" width="1.19921875" style="1" customWidth="1"/>
    <col min="1226" max="1226" width="70.59765625" style="1" customWidth="1"/>
    <col min="1227" max="1231" width="10.59765625" style="1" customWidth="1"/>
    <col min="1232" max="1480" width="9" style="1"/>
    <col min="1481" max="1481" width="1.19921875" style="1" customWidth="1"/>
    <col min="1482" max="1482" width="70.59765625" style="1" customWidth="1"/>
    <col min="1483" max="1487" width="10.59765625" style="1" customWidth="1"/>
    <col min="1488" max="1736" width="9" style="1"/>
    <col min="1737" max="1737" width="1.19921875" style="1" customWidth="1"/>
    <col min="1738" max="1738" width="70.59765625" style="1" customWidth="1"/>
    <col min="1739" max="1743" width="10.59765625" style="1" customWidth="1"/>
    <col min="1744" max="1992" width="9" style="1"/>
    <col min="1993" max="1993" width="1.19921875" style="1" customWidth="1"/>
    <col min="1994" max="1994" width="70.59765625" style="1" customWidth="1"/>
    <col min="1995" max="1999" width="10.59765625" style="1" customWidth="1"/>
    <col min="2000" max="2248" width="9" style="1"/>
    <col min="2249" max="2249" width="1.19921875" style="1" customWidth="1"/>
    <col min="2250" max="2250" width="70.59765625" style="1" customWidth="1"/>
    <col min="2251" max="2255" width="10.59765625" style="1" customWidth="1"/>
    <col min="2256" max="2504" width="9" style="1"/>
    <col min="2505" max="2505" width="1.19921875" style="1" customWidth="1"/>
    <col min="2506" max="2506" width="70.59765625" style="1" customWidth="1"/>
    <col min="2507" max="2511" width="10.59765625" style="1" customWidth="1"/>
    <col min="2512" max="2760" width="9" style="1"/>
    <col min="2761" max="2761" width="1.19921875" style="1" customWidth="1"/>
    <col min="2762" max="2762" width="70.59765625" style="1" customWidth="1"/>
    <col min="2763" max="2767" width="10.59765625" style="1" customWidth="1"/>
    <col min="2768" max="3016" width="9" style="1"/>
    <col min="3017" max="3017" width="1.19921875" style="1" customWidth="1"/>
    <col min="3018" max="3018" width="70.59765625" style="1" customWidth="1"/>
    <col min="3019" max="3023" width="10.59765625" style="1" customWidth="1"/>
    <col min="3024" max="3272" width="9" style="1"/>
    <col min="3273" max="3273" width="1.19921875" style="1" customWidth="1"/>
    <col min="3274" max="3274" width="70.59765625" style="1" customWidth="1"/>
    <col min="3275" max="3279" width="10.59765625" style="1" customWidth="1"/>
    <col min="3280" max="3528" width="9" style="1"/>
    <col min="3529" max="3529" width="1.19921875" style="1" customWidth="1"/>
    <col min="3530" max="3530" width="70.59765625" style="1" customWidth="1"/>
    <col min="3531" max="3535" width="10.59765625" style="1" customWidth="1"/>
    <col min="3536" max="3784" width="9" style="1"/>
    <col min="3785" max="3785" width="1.19921875" style="1" customWidth="1"/>
    <col min="3786" max="3786" width="70.59765625" style="1" customWidth="1"/>
    <col min="3787" max="3791" width="10.59765625" style="1" customWidth="1"/>
    <col min="3792" max="4040" width="9" style="1"/>
    <col min="4041" max="4041" width="1.19921875" style="1" customWidth="1"/>
    <col min="4042" max="4042" width="70.59765625" style="1" customWidth="1"/>
    <col min="4043" max="4047" width="10.59765625" style="1" customWidth="1"/>
    <col min="4048" max="4296" width="9" style="1"/>
    <col min="4297" max="4297" width="1.19921875" style="1" customWidth="1"/>
    <col min="4298" max="4298" width="70.59765625" style="1" customWidth="1"/>
    <col min="4299" max="4303" width="10.59765625" style="1" customWidth="1"/>
    <col min="4304" max="4552" width="9" style="1"/>
    <col min="4553" max="4553" width="1.19921875" style="1" customWidth="1"/>
    <col min="4554" max="4554" width="70.59765625" style="1" customWidth="1"/>
    <col min="4555" max="4559" width="10.59765625" style="1" customWidth="1"/>
    <col min="4560" max="4808" width="9" style="1"/>
    <col min="4809" max="4809" width="1.19921875" style="1" customWidth="1"/>
    <col min="4810" max="4810" width="70.59765625" style="1" customWidth="1"/>
    <col min="4811" max="4815" width="10.59765625" style="1" customWidth="1"/>
    <col min="4816" max="5064" width="9" style="1"/>
    <col min="5065" max="5065" width="1.19921875" style="1" customWidth="1"/>
    <col min="5066" max="5066" width="70.59765625" style="1" customWidth="1"/>
    <col min="5067" max="5071" width="10.59765625" style="1" customWidth="1"/>
    <col min="5072" max="5320" width="9" style="1"/>
    <col min="5321" max="5321" width="1.19921875" style="1" customWidth="1"/>
    <col min="5322" max="5322" width="70.59765625" style="1" customWidth="1"/>
    <col min="5323" max="5327" width="10.59765625" style="1" customWidth="1"/>
    <col min="5328" max="5576" width="9" style="1"/>
    <col min="5577" max="5577" width="1.19921875" style="1" customWidth="1"/>
    <col min="5578" max="5578" width="70.59765625" style="1" customWidth="1"/>
    <col min="5579" max="5583" width="10.59765625" style="1" customWidth="1"/>
    <col min="5584" max="5832" width="9" style="1"/>
    <col min="5833" max="5833" width="1.19921875" style="1" customWidth="1"/>
    <col min="5834" max="5834" width="70.59765625" style="1" customWidth="1"/>
    <col min="5835" max="5839" width="10.59765625" style="1" customWidth="1"/>
    <col min="5840" max="6088" width="9" style="1"/>
    <col min="6089" max="6089" width="1.19921875" style="1" customWidth="1"/>
    <col min="6090" max="6090" width="70.59765625" style="1" customWidth="1"/>
    <col min="6091" max="6095" width="10.59765625" style="1" customWidth="1"/>
    <col min="6096" max="6344" width="9" style="1"/>
    <col min="6345" max="6345" width="1.19921875" style="1" customWidth="1"/>
    <col min="6346" max="6346" width="70.59765625" style="1" customWidth="1"/>
    <col min="6347" max="6351" width="10.59765625" style="1" customWidth="1"/>
    <col min="6352" max="6600" width="9" style="1"/>
    <col min="6601" max="6601" width="1.19921875" style="1" customWidth="1"/>
    <col min="6602" max="6602" width="70.59765625" style="1" customWidth="1"/>
    <col min="6603" max="6607" width="10.59765625" style="1" customWidth="1"/>
    <col min="6608" max="6856" width="9" style="1"/>
    <col min="6857" max="6857" width="1.19921875" style="1" customWidth="1"/>
    <col min="6858" max="6858" width="70.59765625" style="1" customWidth="1"/>
    <col min="6859" max="6863" width="10.59765625" style="1" customWidth="1"/>
    <col min="6864" max="7112" width="9" style="1"/>
    <col min="7113" max="7113" width="1.19921875" style="1" customWidth="1"/>
    <col min="7114" max="7114" width="70.59765625" style="1" customWidth="1"/>
    <col min="7115" max="7119" width="10.59765625" style="1" customWidth="1"/>
    <col min="7120" max="7368" width="9" style="1"/>
    <col min="7369" max="7369" width="1.19921875" style="1" customWidth="1"/>
    <col min="7370" max="7370" width="70.59765625" style="1" customWidth="1"/>
    <col min="7371" max="7375" width="10.59765625" style="1" customWidth="1"/>
    <col min="7376" max="7624" width="9" style="1"/>
    <col min="7625" max="7625" width="1.19921875" style="1" customWidth="1"/>
    <col min="7626" max="7626" width="70.59765625" style="1" customWidth="1"/>
    <col min="7627" max="7631" width="10.59765625" style="1" customWidth="1"/>
    <col min="7632" max="7880" width="9" style="1"/>
    <col min="7881" max="7881" width="1.19921875" style="1" customWidth="1"/>
    <col min="7882" max="7882" width="70.59765625" style="1" customWidth="1"/>
    <col min="7883" max="7887" width="10.59765625" style="1" customWidth="1"/>
    <col min="7888" max="8136" width="9" style="1"/>
    <col min="8137" max="8137" width="1.19921875" style="1" customWidth="1"/>
    <col min="8138" max="8138" width="70.59765625" style="1" customWidth="1"/>
    <col min="8139" max="8143" width="10.59765625" style="1" customWidth="1"/>
    <col min="8144" max="8392" width="9" style="1"/>
    <col min="8393" max="8393" width="1.19921875" style="1" customWidth="1"/>
    <col min="8394" max="8394" width="70.59765625" style="1" customWidth="1"/>
    <col min="8395" max="8399" width="10.59765625" style="1" customWidth="1"/>
    <col min="8400" max="8648" width="9" style="1"/>
    <col min="8649" max="8649" width="1.19921875" style="1" customWidth="1"/>
    <col min="8650" max="8650" width="70.59765625" style="1" customWidth="1"/>
    <col min="8651" max="8655" width="10.59765625" style="1" customWidth="1"/>
    <col min="8656" max="8904" width="9" style="1"/>
    <col min="8905" max="8905" width="1.19921875" style="1" customWidth="1"/>
    <col min="8906" max="8906" width="70.59765625" style="1" customWidth="1"/>
    <col min="8907" max="8911" width="10.59765625" style="1" customWidth="1"/>
    <col min="8912" max="9160" width="9" style="1"/>
    <col min="9161" max="9161" width="1.19921875" style="1" customWidth="1"/>
    <col min="9162" max="9162" width="70.59765625" style="1" customWidth="1"/>
    <col min="9163" max="9167" width="10.59765625" style="1" customWidth="1"/>
    <col min="9168" max="9416" width="9" style="1"/>
    <col min="9417" max="9417" width="1.19921875" style="1" customWidth="1"/>
    <col min="9418" max="9418" width="70.59765625" style="1" customWidth="1"/>
    <col min="9419" max="9423" width="10.59765625" style="1" customWidth="1"/>
    <col min="9424" max="9672" width="9" style="1"/>
    <col min="9673" max="9673" width="1.19921875" style="1" customWidth="1"/>
    <col min="9674" max="9674" width="70.59765625" style="1" customWidth="1"/>
    <col min="9675" max="9679" width="10.59765625" style="1" customWidth="1"/>
    <col min="9680" max="9928" width="9" style="1"/>
    <col min="9929" max="9929" width="1.19921875" style="1" customWidth="1"/>
    <col min="9930" max="9930" width="70.59765625" style="1" customWidth="1"/>
    <col min="9931" max="9935" width="10.59765625" style="1" customWidth="1"/>
    <col min="9936" max="10184" width="9" style="1"/>
    <col min="10185" max="10185" width="1.19921875" style="1" customWidth="1"/>
    <col min="10186" max="10186" width="70.59765625" style="1" customWidth="1"/>
    <col min="10187" max="10191" width="10.59765625" style="1" customWidth="1"/>
    <col min="10192" max="10440" width="9" style="1"/>
    <col min="10441" max="10441" width="1.19921875" style="1" customWidth="1"/>
    <col min="10442" max="10442" width="70.59765625" style="1" customWidth="1"/>
    <col min="10443" max="10447" width="10.59765625" style="1" customWidth="1"/>
    <col min="10448" max="10696" width="9" style="1"/>
    <col min="10697" max="10697" width="1.19921875" style="1" customWidth="1"/>
    <col min="10698" max="10698" width="70.59765625" style="1" customWidth="1"/>
    <col min="10699" max="10703" width="10.59765625" style="1" customWidth="1"/>
    <col min="10704" max="10952" width="9" style="1"/>
    <col min="10953" max="10953" width="1.19921875" style="1" customWidth="1"/>
    <col min="10954" max="10954" width="70.59765625" style="1" customWidth="1"/>
    <col min="10955" max="10959" width="10.59765625" style="1" customWidth="1"/>
    <col min="10960" max="11208" width="9" style="1"/>
    <col min="11209" max="11209" width="1.19921875" style="1" customWidth="1"/>
    <col min="11210" max="11210" width="70.59765625" style="1" customWidth="1"/>
    <col min="11211" max="11215" width="10.59765625" style="1" customWidth="1"/>
    <col min="11216" max="11464" width="9" style="1"/>
    <col min="11465" max="11465" width="1.19921875" style="1" customWidth="1"/>
    <col min="11466" max="11466" width="70.59765625" style="1" customWidth="1"/>
    <col min="11467" max="11471" width="10.59765625" style="1" customWidth="1"/>
    <col min="11472" max="11720" width="9" style="1"/>
    <col min="11721" max="11721" width="1.19921875" style="1" customWidth="1"/>
    <col min="11722" max="11722" width="70.59765625" style="1" customWidth="1"/>
    <col min="11723" max="11727" width="10.59765625" style="1" customWidth="1"/>
    <col min="11728" max="11976" width="9" style="1"/>
    <col min="11977" max="11977" width="1.19921875" style="1" customWidth="1"/>
    <col min="11978" max="11978" width="70.59765625" style="1" customWidth="1"/>
    <col min="11979" max="11983" width="10.59765625" style="1" customWidth="1"/>
    <col min="11984" max="12232" width="9" style="1"/>
    <col min="12233" max="12233" width="1.19921875" style="1" customWidth="1"/>
    <col min="12234" max="12234" width="70.59765625" style="1" customWidth="1"/>
    <col min="12235" max="12239" width="10.59765625" style="1" customWidth="1"/>
    <col min="12240" max="12488" width="9" style="1"/>
    <col min="12489" max="12489" width="1.19921875" style="1" customWidth="1"/>
    <col min="12490" max="12490" width="70.59765625" style="1" customWidth="1"/>
    <col min="12491" max="12495" width="10.59765625" style="1" customWidth="1"/>
    <col min="12496" max="12744" width="9" style="1"/>
    <col min="12745" max="12745" width="1.19921875" style="1" customWidth="1"/>
    <col min="12746" max="12746" width="70.59765625" style="1" customWidth="1"/>
    <col min="12747" max="12751" width="10.59765625" style="1" customWidth="1"/>
    <col min="12752" max="13000" width="9" style="1"/>
    <col min="13001" max="13001" width="1.19921875" style="1" customWidth="1"/>
    <col min="13002" max="13002" width="70.59765625" style="1" customWidth="1"/>
    <col min="13003" max="13007" width="10.59765625" style="1" customWidth="1"/>
    <col min="13008" max="13256" width="9" style="1"/>
    <col min="13257" max="13257" width="1.19921875" style="1" customWidth="1"/>
    <col min="13258" max="13258" width="70.59765625" style="1" customWidth="1"/>
    <col min="13259" max="13263" width="10.59765625" style="1" customWidth="1"/>
    <col min="13264" max="13512" width="9" style="1"/>
    <col min="13513" max="13513" width="1.19921875" style="1" customWidth="1"/>
    <col min="13514" max="13514" width="70.59765625" style="1" customWidth="1"/>
    <col min="13515" max="13519" width="10.59765625" style="1" customWidth="1"/>
    <col min="13520" max="13768" width="9" style="1"/>
    <col min="13769" max="13769" width="1.19921875" style="1" customWidth="1"/>
    <col min="13770" max="13770" width="70.59765625" style="1" customWidth="1"/>
    <col min="13771" max="13775" width="10.59765625" style="1" customWidth="1"/>
    <col min="13776" max="14024" width="9" style="1"/>
    <col min="14025" max="14025" width="1.19921875" style="1" customWidth="1"/>
    <col min="14026" max="14026" width="70.59765625" style="1" customWidth="1"/>
    <col min="14027" max="14031" width="10.59765625" style="1" customWidth="1"/>
    <col min="14032" max="14280" width="9" style="1"/>
    <col min="14281" max="14281" width="1.19921875" style="1" customWidth="1"/>
    <col min="14282" max="14282" width="70.59765625" style="1" customWidth="1"/>
    <col min="14283" max="14287" width="10.59765625" style="1" customWidth="1"/>
    <col min="14288" max="14536" width="9" style="1"/>
    <col min="14537" max="14537" width="1.19921875" style="1" customWidth="1"/>
    <col min="14538" max="14538" width="70.59765625" style="1" customWidth="1"/>
    <col min="14539" max="14543" width="10.59765625" style="1" customWidth="1"/>
    <col min="14544" max="14792" width="9" style="1"/>
    <col min="14793" max="14793" width="1.19921875" style="1" customWidth="1"/>
    <col min="14794" max="14794" width="70.59765625" style="1" customWidth="1"/>
    <col min="14795" max="14799" width="10.59765625" style="1" customWidth="1"/>
    <col min="14800" max="15048" width="9" style="1"/>
    <col min="15049" max="15049" width="1.19921875" style="1" customWidth="1"/>
    <col min="15050" max="15050" width="70.59765625" style="1" customWidth="1"/>
    <col min="15051" max="15055" width="10.59765625" style="1" customWidth="1"/>
    <col min="15056" max="15304" width="9" style="1"/>
    <col min="15305" max="15305" width="1.19921875" style="1" customWidth="1"/>
    <col min="15306" max="15306" width="70.59765625" style="1" customWidth="1"/>
    <col min="15307" max="15311" width="10.59765625" style="1" customWidth="1"/>
    <col min="15312" max="15560" width="9" style="1"/>
    <col min="15561" max="15561" width="1.19921875" style="1" customWidth="1"/>
    <col min="15562" max="15562" width="70.59765625" style="1" customWidth="1"/>
    <col min="15563" max="15567" width="10.59765625" style="1" customWidth="1"/>
    <col min="15568" max="16384" width="9" style="1"/>
  </cols>
  <sheetData>
    <row r="1" spans="1:6" ht="13.8" x14ac:dyDescent="0.25">
      <c r="A1" s="11" t="s">
        <v>14</v>
      </c>
      <c r="B1" s="61"/>
      <c r="C1" s="61"/>
      <c r="D1" s="61"/>
      <c r="E1" s="61"/>
    </row>
    <row r="2" spans="1:6" x14ac:dyDescent="0.25">
      <c r="A2" s="61"/>
      <c r="B2" s="61"/>
      <c r="C2" s="61"/>
      <c r="D2" s="61"/>
      <c r="E2" s="61"/>
    </row>
    <row r="3" spans="1:6" ht="30" customHeight="1" x14ac:dyDescent="0.25">
      <c r="A3" s="679" t="s">
        <v>830</v>
      </c>
      <c r="B3" s="679"/>
      <c r="C3" s="679"/>
    </row>
    <row r="4" spans="1:6" ht="16.5" customHeight="1" x14ac:dyDescent="0.25">
      <c r="A4" s="11"/>
      <c r="B4" s="11"/>
    </row>
    <row r="5" spans="1:6" ht="83.25" customHeight="1" x14ac:dyDescent="0.25">
      <c r="A5" s="673" t="s">
        <v>831</v>
      </c>
      <c r="B5" s="673"/>
      <c r="C5" s="673"/>
      <c r="D5" s="673"/>
      <c r="E5" s="673"/>
      <c r="F5" s="352"/>
    </row>
    <row r="6" spans="1:6" ht="13.8" thickBot="1" x14ac:dyDescent="0.3">
      <c r="A6" s="83"/>
      <c r="B6" s="83"/>
      <c r="C6" s="83"/>
      <c r="D6" s="83"/>
      <c r="E6" s="83"/>
    </row>
    <row r="7" spans="1:6" ht="42" customHeight="1" thickBot="1" x14ac:dyDescent="0.3">
      <c r="A7" s="98"/>
      <c r="B7" s="123" t="s">
        <v>154</v>
      </c>
      <c r="C7" s="119" t="s">
        <v>95</v>
      </c>
      <c r="D7" s="119" t="s">
        <v>155</v>
      </c>
      <c r="E7" s="119" t="s">
        <v>97</v>
      </c>
    </row>
    <row r="8" spans="1:6" x14ac:dyDescent="0.25">
      <c r="A8" s="352"/>
      <c r="B8" s="352"/>
    </row>
    <row r="9" spans="1:6" ht="15" customHeight="1" x14ac:dyDescent="0.25">
      <c r="A9" s="8" t="s">
        <v>98</v>
      </c>
      <c r="B9" s="4"/>
      <c r="C9" s="331" t="s">
        <v>884</v>
      </c>
      <c r="D9" s="178"/>
      <c r="E9" s="129"/>
    </row>
    <row r="10" spans="1:6" ht="15" customHeight="1" x14ac:dyDescent="0.25">
      <c r="A10" s="6"/>
      <c r="B10" s="6"/>
      <c r="C10" s="21"/>
      <c r="D10" s="130"/>
    </row>
    <row r="11" spans="1:6" ht="15" customHeight="1" x14ac:dyDescent="0.25">
      <c r="A11" s="124" t="s">
        <v>156</v>
      </c>
      <c r="B11" s="125"/>
      <c r="C11" s="331" t="s">
        <v>885</v>
      </c>
      <c r="D11" s="178"/>
      <c r="E11" s="129"/>
    </row>
    <row r="12" spans="1:6" ht="15" customHeight="1" x14ac:dyDescent="0.25">
      <c r="A12" s="6"/>
      <c r="B12" s="6"/>
      <c r="C12" s="21"/>
      <c r="E12" s="22"/>
    </row>
    <row r="13" spans="1:6" ht="15" customHeight="1" x14ac:dyDescent="0.25">
      <c r="A13" s="608" t="s">
        <v>886</v>
      </c>
      <c r="B13" s="608"/>
      <c r="C13" s="620"/>
      <c r="D13" s="179" t="str">
        <f>IFERROR(VLOOKUP(A13,#REF!,3,FALSE),"-")</f>
        <v>-</v>
      </c>
      <c r="E13" s="180" t="str">
        <f t="shared" ref="E13:E44" si="0">IFERROR(C13/D13*100000,"-")</f>
        <v>-</v>
      </c>
    </row>
    <row r="14" spans="1:6" ht="15" customHeight="1" x14ac:dyDescent="0.25">
      <c r="A14" s="621"/>
      <c r="B14" s="621"/>
      <c r="C14" s="622"/>
      <c r="D14" s="179" t="str">
        <f>IFERROR(VLOOKUP(A14,#REF!,3,FALSE),"-")</f>
        <v>-</v>
      </c>
      <c r="E14" s="180" t="str">
        <f t="shared" si="0"/>
        <v>-</v>
      </c>
    </row>
    <row r="15" spans="1:6" ht="15" customHeight="1" x14ac:dyDescent="0.25">
      <c r="A15" s="621"/>
      <c r="B15" s="621"/>
      <c r="C15" s="622"/>
      <c r="D15" s="179" t="str">
        <f>IFERROR(VLOOKUP(A15,#REF!,3,FALSE),"-")</f>
        <v>-</v>
      </c>
      <c r="E15" s="180" t="str">
        <f t="shared" si="0"/>
        <v>-</v>
      </c>
    </row>
    <row r="16" spans="1:6" ht="15" customHeight="1" x14ac:dyDescent="0.25">
      <c r="A16" s="621"/>
      <c r="B16" s="621"/>
      <c r="C16" s="622"/>
      <c r="D16" s="179" t="str">
        <f>IFERROR(VLOOKUP(A16,#REF!,3,FALSE),"-")</f>
        <v>-</v>
      </c>
      <c r="E16" s="180" t="str">
        <f t="shared" si="0"/>
        <v>-</v>
      </c>
    </row>
    <row r="17" spans="1:5" ht="15" customHeight="1" x14ac:dyDescent="0.25">
      <c r="A17" s="621"/>
      <c r="B17" s="621"/>
      <c r="C17" s="622"/>
      <c r="D17" s="179" t="str">
        <f>IFERROR(VLOOKUP(A17,#REF!,3,FALSE),"-")</f>
        <v>-</v>
      </c>
      <c r="E17" s="180" t="str">
        <f t="shared" si="0"/>
        <v>-</v>
      </c>
    </row>
    <row r="18" spans="1:5" ht="15" customHeight="1" x14ac:dyDescent="0.25">
      <c r="A18" s="621"/>
      <c r="B18" s="621"/>
      <c r="C18" s="622"/>
      <c r="D18" s="179" t="str">
        <f>IFERROR(VLOOKUP(A18,#REF!,3,FALSE),"-")</f>
        <v>-</v>
      </c>
      <c r="E18" s="180" t="str">
        <f t="shared" si="0"/>
        <v>-</v>
      </c>
    </row>
    <row r="19" spans="1:5" ht="15" customHeight="1" x14ac:dyDescent="0.25">
      <c r="A19" s="621"/>
      <c r="B19" s="621"/>
      <c r="C19" s="622"/>
      <c r="D19" s="179" t="str">
        <f>IFERROR(VLOOKUP(A19,#REF!,3,FALSE),"-")</f>
        <v>-</v>
      </c>
      <c r="E19" s="180" t="str">
        <f t="shared" si="0"/>
        <v>-</v>
      </c>
    </row>
    <row r="20" spans="1:5" ht="15" customHeight="1" x14ac:dyDescent="0.25">
      <c r="A20" s="621"/>
      <c r="B20" s="621"/>
      <c r="C20" s="622"/>
      <c r="D20" s="179" t="str">
        <f>IFERROR(VLOOKUP(A20,#REF!,3,FALSE),"-")</f>
        <v>-</v>
      </c>
      <c r="E20" s="180" t="str">
        <f t="shared" si="0"/>
        <v>-</v>
      </c>
    </row>
    <row r="21" spans="1:5" ht="15" customHeight="1" x14ac:dyDescent="0.25">
      <c r="A21" s="621"/>
      <c r="B21" s="621"/>
      <c r="C21" s="622"/>
      <c r="D21" s="179" t="str">
        <f>IFERROR(VLOOKUP(A21,#REF!,3,FALSE),"-")</f>
        <v>-</v>
      </c>
      <c r="E21" s="180" t="str">
        <f t="shared" si="0"/>
        <v>-</v>
      </c>
    </row>
    <row r="22" spans="1:5" ht="15" customHeight="1" x14ac:dyDescent="0.25">
      <c r="A22" s="621"/>
      <c r="B22" s="621"/>
      <c r="C22" s="622"/>
      <c r="D22" s="179" t="str">
        <f>IFERROR(VLOOKUP(A22,#REF!,3,FALSE),"-")</f>
        <v>-</v>
      </c>
      <c r="E22" s="180" t="str">
        <f t="shared" si="0"/>
        <v>-</v>
      </c>
    </row>
    <row r="23" spans="1:5" ht="15" customHeight="1" x14ac:dyDescent="0.25">
      <c r="A23" s="621"/>
      <c r="B23" s="621"/>
      <c r="C23" s="622"/>
      <c r="D23" s="179" t="str">
        <f>IFERROR(VLOOKUP(A23,#REF!,3,FALSE),"-")</f>
        <v>-</v>
      </c>
      <c r="E23" s="180" t="str">
        <f t="shared" si="0"/>
        <v>-</v>
      </c>
    </row>
    <row r="24" spans="1:5" ht="15" customHeight="1" x14ac:dyDescent="0.25">
      <c r="A24" s="621"/>
      <c r="B24" s="621"/>
      <c r="C24" s="622"/>
      <c r="D24" s="179" t="str">
        <f>IFERROR(VLOOKUP(A24,#REF!,3,FALSE),"-")</f>
        <v>-</v>
      </c>
      <c r="E24" s="180" t="str">
        <f t="shared" si="0"/>
        <v>-</v>
      </c>
    </row>
    <row r="25" spans="1:5" ht="15" customHeight="1" x14ac:dyDescent="0.25">
      <c r="A25" s="621"/>
      <c r="B25" s="621"/>
      <c r="C25" s="622"/>
      <c r="D25" s="179" t="str">
        <f>IFERROR(VLOOKUP(A25,#REF!,3,FALSE),"-")</f>
        <v>-</v>
      </c>
      <c r="E25" s="180" t="str">
        <f t="shared" si="0"/>
        <v>-</v>
      </c>
    </row>
    <row r="26" spans="1:5" ht="15" customHeight="1" x14ac:dyDescent="0.25">
      <c r="A26" s="621"/>
      <c r="B26" s="621"/>
      <c r="C26" s="622"/>
      <c r="D26" s="179" t="str">
        <f>IFERROR(VLOOKUP(A26,#REF!,3,FALSE),"-")</f>
        <v>-</v>
      </c>
      <c r="E26" s="180" t="str">
        <f t="shared" si="0"/>
        <v>-</v>
      </c>
    </row>
    <row r="27" spans="1:5" ht="15" customHeight="1" x14ac:dyDescent="0.25">
      <c r="A27" s="621"/>
      <c r="B27" s="621"/>
      <c r="C27" s="622"/>
      <c r="D27" s="179" t="str">
        <f>IFERROR(VLOOKUP(A27,#REF!,3,FALSE),"-")</f>
        <v>-</v>
      </c>
      <c r="E27" s="180" t="str">
        <f t="shared" si="0"/>
        <v>-</v>
      </c>
    </row>
    <row r="28" spans="1:5" ht="15" customHeight="1" x14ac:dyDescent="0.25">
      <c r="A28" s="621"/>
      <c r="B28" s="621"/>
      <c r="C28" s="622"/>
      <c r="D28" s="179" t="str">
        <f>IFERROR(VLOOKUP(A28,#REF!,3,FALSE),"-")</f>
        <v>-</v>
      </c>
      <c r="E28" s="180" t="str">
        <f t="shared" si="0"/>
        <v>-</v>
      </c>
    </row>
    <row r="29" spans="1:5" ht="15" customHeight="1" x14ac:dyDescent="0.25">
      <c r="A29" s="621"/>
      <c r="B29" s="621"/>
      <c r="C29" s="622"/>
      <c r="D29" s="179" t="str">
        <f>IFERROR(VLOOKUP(A29,#REF!,3,FALSE),"-")</f>
        <v>-</v>
      </c>
      <c r="E29" s="180" t="str">
        <f t="shared" si="0"/>
        <v>-</v>
      </c>
    </row>
    <row r="30" spans="1:5" ht="15" customHeight="1" x14ac:dyDescent="0.25">
      <c r="A30" s="621"/>
      <c r="B30" s="621"/>
      <c r="C30" s="622"/>
      <c r="D30" s="179" t="str">
        <f>IFERROR(VLOOKUP(A30,#REF!,3,FALSE),"-")</f>
        <v>-</v>
      </c>
      <c r="E30" s="180" t="str">
        <f t="shared" si="0"/>
        <v>-</v>
      </c>
    </row>
    <row r="31" spans="1:5" ht="15" customHeight="1" x14ac:dyDescent="0.25">
      <c r="A31" s="621"/>
      <c r="B31" s="621"/>
      <c r="C31" s="622"/>
      <c r="D31" s="179" t="str">
        <f>IFERROR(VLOOKUP(A31,#REF!,3,FALSE),"-")</f>
        <v>-</v>
      </c>
      <c r="E31" s="180" t="str">
        <f t="shared" si="0"/>
        <v>-</v>
      </c>
    </row>
    <row r="32" spans="1:5" ht="15" customHeight="1" x14ac:dyDescent="0.25">
      <c r="A32" s="621"/>
      <c r="B32" s="621"/>
      <c r="C32" s="622"/>
      <c r="D32" s="179" t="str">
        <f>IFERROR(VLOOKUP(A32,#REF!,3,FALSE),"-")</f>
        <v>-</v>
      </c>
      <c r="E32" s="180" t="str">
        <f t="shared" si="0"/>
        <v>-</v>
      </c>
    </row>
    <row r="33" spans="1:5" ht="15" customHeight="1" x14ac:dyDescent="0.25">
      <c r="A33" s="621"/>
      <c r="B33" s="621"/>
      <c r="C33" s="622"/>
      <c r="D33" s="179" t="str">
        <f>IFERROR(VLOOKUP(A33,#REF!,3,FALSE),"-")</f>
        <v>-</v>
      </c>
      <c r="E33" s="180" t="str">
        <f t="shared" si="0"/>
        <v>-</v>
      </c>
    </row>
    <row r="34" spans="1:5" ht="15" customHeight="1" x14ac:dyDescent="0.25">
      <c r="A34" s="621"/>
      <c r="B34" s="621"/>
      <c r="C34" s="622"/>
      <c r="D34" s="179" t="str">
        <f>IFERROR(VLOOKUP(A34,#REF!,3,FALSE),"-")</f>
        <v>-</v>
      </c>
      <c r="E34" s="180" t="str">
        <f t="shared" si="0"/>
        <v>-</v>
      </c>
    </row>
    <row r="35" spans="1:5" ht="15" customHeight="1" x14ac:dyDescent="0.25">
      <c r="A35" s="621"/>
      <c r="B35" s="621"/>
      <c r="C35" s="622"/>
      <c r="D35" s="179" t="str">
        <f>IFERROR(VLOOKUP(A35,#REF!,3,FALSE),"-")</f>
        <v>-</v>
      </c>
      <c r="E35" s="180" t="str">
        <f t="shared" si="0"/>
        <v>-</v>
      </c>
    </row>
    <row r="36" spans="1:5" ht="15" customHeight="1" x14ac:dyDescent="0.25">
      <c r="A36" s="621"/>
      <c r="B36" s="621"/>
      <c r="C36" s="622"/>
      <c r="D36" s="179" t="str">
        <f>IFERROR(VLOOKUP(A36,#REF!,3,FALSE),"-")</f>
        <v>-</v>
      </c>
      <c r="E36" s="180" t="str">
        <f t="shared" si="0"/>
        <v>-</v>
      </c>
    </row>
    <row r="37" spans="1:5" ht="15" customHeight="1" x14ac:dyDescent="0.25">
      <c r="A37" s="621"/>
      <c r="B37" s="621"/>
      <c r="C37" s="622"/>
      <c r="D37" s="179" t="str">
        <f>IFERROR(VLOOKUP(A37,#REF!,3,FALSE),"-")</f>
        <v>-</v>
      </c>
      <c r="E37" s="180" t="str">
        <f t="shared" si="0"/>
        <v>-</v>
      </c>
    </row>
    <row r="38" spans="1:5" ht="15" customHeight="1" x14ac:dyDescent="0.25">
      <c r="A38" s="621"/>
      <c r="B38" s="621"/>
      <c r="C38" s="622"/>
      <c r="D38" s="179" t="str">
        <f>IFERROR(VLOOKUP(A38,#REF!,3,FALSE),"-")</f>
        <v>-</v>
      </c>
      <c r="E38" s="180" t="str">
        <f t="shared" si="0"/>
        <v>-</v>
      </c>
    </row>
    <row r="39" spans="1:5" ht="15" customHeight="1" x14ac:dyDescent="0.25">
      <c r="A39" s="621"/>
      <c r="B39" s="621"/>
      <c r="C39" s="622"/>
      <c r="D39" s="179" t="str">
        <f>IFERROR(VLOOKUP(A39,#REF!,3,FALSE),"-")</f>
        <v>-</v>
      </c>
      <c r="E39" s="180" t="str">
        <f t="shared" si="0"/>
        <v>-</v>
      </c>
    </row>
    <row r="40" spans="1:5" ht="15" customHeight="1" x14ac:dyDescent="0.25">
      <c r="A40" s="621"/>
      <c r="B40" s="621"/>
      <c r="C40" s="622"/>
      <c r="D40" s="179" t="str">
        <f>IFERROR(VLOOKUP(A40,#REF!,3,FALSE),"-")</f>
        <v>-</v>
      </c>
      <c r="E40" s="180" t="str">
        <f t="shared" si="0"/>
        <v>-</v>
      </c>
    </row>
    <row r="41" spans="1:5" ht="15" customHeight="1" x14ac:dyDescent="0.25">
      <c r="A41" s="621"/>
      <c r="B41" s="621"/>
      <c r="C41" s="622"/>
      <c r="D41" s="179" t="str">
        <f>IFERROR(VLOOKUP(A41,#REF!,3,FALSE),"-")</f>
        <v>-</v>
      </c>
      <c r="E41" s="180" t="str">
        <f t="shared" si="0"/>
        <v>-</v>
      </c>
    </row>
    <row r="42" spans="1:5" ht="15" customHeight="1" x14ac:dyDescent="0.25">
      <c r="A42" s="621"/>
      <c r="B42" s="621"/>
      <c r="C42" s="622"/>
      <c r="D42" s="179" t="str">
        <f>IFERROR(VLOOKUP(A42,#REF!,3,FALSE),"-")</f>
        <v>-</v>
      </c>
      <c r="E42" s="180" t="str">
        <f t="shared" si="0"/>
        <v>-</v>
      </c>
    </row>
    <row r="43" spans="1:5" ht="15" customHeight="1" x14ac:dyDescent="0.25">
      <c r="A43" s="621"/>
      <c r="B43" s="621"/>
      <c r="C43" s="622"/>
      <c r="D43" s="179" t="str">
        <f>IFERROR(VLOOKUP(A43,#REF!,3,FALSE),"-")</f>
        <v>-</v>
      </c>
      <c r="E43" s="180" t="str">
        <f t="shared" si="0"/>
        <v>-</v>
      </c>
    </row>
    <row r="44" spans="1:5" ht="15" customHeight="1" x14ac:dyDescent="0.25">
      <c r="A44" s="621"/>
      <c r="B44" s="621"/>
      <c r="C44" s="622"/>
      <c r="D44" s="179" t="str">
        <f>IFERROR(VLOOKUP(A44,#REF!,3,FALSE),"-")</f>
        <v>-</v>
      </c>
      <c r="E44" s="180" t="str">
        <f t="shared" si="0"/>
        <v>-</v>
      </c>
    </row>
    <row r="45" spans="1:5" ht="15" customHeight="1" x14ac:dyDescent="0.25">
      <c r="A45" s="621"/>
      <c r="B45" s="621"/>
      <c r="C45" s="622"/>
      <c r="D45" s="179" t="str">
        <f>IFERROR(VLOOKUP(A45,#REF!,3,FALSE),"-")</f>
        <v>-</v>
      </c>
      <c r="E45" s="180" t="str">
        <f t="shared" ref="E45:E76" si="1">IFERROR(C45/D45*100000,"-")</f>
        <v>-</v>
      </c>
    </row>
    <row r="46" spans="1:5" ht="15" customHeight="1" x14ac:dyDescent="0.25">
      <c r="A46" s="621"/>
      <c r="B46" s="621"/>
      <c r="C46" s="622"/>
      <c r="D46" s="179" t="str">
        <f>IFERROR(VLOOKUP(A46,#REF!,3,FALSE),"-")</f>
        <v>-</v>
      </c>
      <c r="E46" s="180" t="str">
        <f t="shared" si="1"/>
        <v>-</v>
      </c>
    </row>
    <row r="47" spans="1:5" ht="15" customHeight="1" x14ac:dyDescent="0.25">
      <c r="A47" s="621"/>
      <c r="B47" s="621"/>
      <c r="C47" s="622"/>
      <c r="D47" s="179" t="str">
        <f>IFERROR(VLOOKUP(A47,#REF!,3,FALSE),"-")</f>
        <v>-</v>
      </c>
      <c r="E47" s="180" t="str">
        <f t="shared" si="1"/>
        <v>-</v>
      </c>
    </row>
    <row r="48" spans="1:5" ht="15" customHeight="1" x14ac:dyDescent="0.25">
      <c r="A48" s="621"/>
      <c r="B48" s="621"/>
      <c r="C48" s="622"/>
      <c r="D48" s="179" t="str">
        <f>IFERROR(VLOOKUP(A48,#REF!,3,FALSE),"-")</f>
        <v>-</v>
      </c>
      <c r="E48" s="180" t="str">
        <f t="shared" si="1"/>
        <v>-</v>
      </c>
    </row>
    <row r="49" spans="1:5" ht="15" customHeight="1" x14ac:dyDescent="0.25">
      <c r="A49" s="621"/>
      <c r="B49" s="621"/>
      <c r="C49" s="622"/>
      <c r="D49" s="179" t="str">
        <f>IFERROR(VLOOKUP(A49,#REF!,3,FALSE),"-")</f>
        <v>-</v>
      </c>
      <c r="E49" s="180" t="str">
        <f t="shared" si="1"/>
        <v>-</v>
      </c>
    </row>
    <row r="50" spans="1:5" ht="15" customHeight="1" x14ac:dyDescent="0.25">
      <c r="A50" s="621"/>
      <c r="B50" s="621"/>
      <c r="C50" s="622"/>
      <c r="D50" s="179" t="str">
        <f>IFERROR(VLOOKUP(A50,#REF!,3,FALSE),"-")</f>
        <v>-</v>
      </c>
      <c r="E50" s="180" t="str">
        <f t="shared" si="1"/>
        <v>-</v>
      </c>
    </row>
    <row r="51" spans="1:5" ht="15" customHeight="1" x14ac:dyDescent="0.25">
      <c r="A51" s="621"/>
      <c r="B51" s="621"/>
      <c r="C51" s="622"/>
      <c r="D51" s="179" t="str">
        <f>IFERROR(VLOOKUP(A51,#REF!,3,FALSE),"-")</f>
        <v>-</v>
      </c>
      <c r="E51" s="180" t="str">
        <f t="shared" si="1"/>
        <v>-</v>
      </c>
    </row>
    <row r="52" spans="1:5" ht="15" customHeight="1" x14ac:dyDescent="0.25">
      <c r="A52" s="621"/>
      <c r="B52" s="621"/>
      <c r="C52" s="622"/>
      <c r="D52" s="179" t="str">
        <f>IFERROR(VLOOKUP(A52,#REF!,3,FALSE),"-")</f>
        <v>-</v>
      </c>
      <c r="E52" s="180" t="str">
        <f t="shared" si="1"/>
        <v>-</v>
      </c>
    </row>
    <row r="53" spans="1:5" ht="15" customHeight="1" x14ac:dyDescent="0.25">
      <c r="A53" s="621"/>
      <c r="B53" s="621"/>
      <c r="C53" s="622"/>
      <c r="D53" s="179" t="str">
        <f>IFERROR(VLOOKUP(A53,#REF!,3,FALSE),"-")</f>
        <v>-</v>
      </c>
      <c r="E53" s="180" t="str">
        <f t="shared" si="1"/>
        <v>-</v>
      </c>
    </row>
    <row r="54" spans="1:5" ht="15" customHeight="1" x14ac:dyDescent="0.25">
      <c r="A54" s="621"/>
      <c r="B54" s="621"/>
      <c r="C54" s="622"/>
      <c r="D54" s="179" t="str">
        <f>IFERROR(VLOOKUP(A54,#REF!,3,FALSE),"-")</f>
        <v>-</v>
      </c>
      <c r="E54" s="180" t="str">
        <f t="shared" si="1"/>
        <v>-</v>
      </c>
    </row>
    <row r="55" spans="1:5" ht="15" customHeight="1" x14ac:dyDescent="0.25">
      <c r="A55" s="621"/>
      <c r="B55" s="621"/>
      <c r="C55" s="622"/>
      <c r="D55" s="179" t="str">
        <f>IFERROR(VLOOKUP(A55,#REF!,3,FALSE),"-")</f>
        <v>-</v>
      </c>
      <c r="E55" s="180" t="str">
        <f t="shared" si="1"/>
        <v>-</v>
      </c>
    </row>
    <row r="56" spans="1:5" ht="15" customHeight="1" x14ac:dyDescent="0.25">
      <c r="A56" s="621"/>
      <c r="B56" s="621"/>
      <c r="C56" s="622"/>
      <c r="D56" s="179" t="str">
        <f>IFERROR(VLOOKUP(A56,#REF!,3,FALSE),"-")</f>
        <v>-</v>
      </c>
      <c r="E56" s="180" t="str">
        <f t="shared" si="1"/>
        <v>-</v>
      </c>
    </row>
    <row r="57" spans="1:5" ht="15" customHeight="1" x14ac:dyDescent="0.25">
      <c r="A57" s="621"/>
      <c r="B57" s="621"/>
      <c r="C57" s="622"/>
      <c r="D57" s="179" t="str">
        <f>IFERROR(VLOOKUP(A57,#REF!,3,FALSE),"-")</f>
        <v>-</v>
      </c>
      <c r="E57" s="180" t="str">
        <f t="shared" si="1"/>
        <v>-</v>
      </c>
    </row>
    <row r="58" spans="1:5" ht="15" customHeight="1" x14ac:dyDescent="0.25">
      <c r="A58" s="621"/>
      <c r="B58" s="621"/>
      <c r="C58" s="622"/>
      <c r="D58" s="179" t="str">
        <f>IFERROR(VLOOKUP(A58,#REF!,3,FALSE),"-")</f>
        <v>-</v>
      </c>
      <c r="E58" s="180" t="str">
        <f t="shared" si="1"/>
        <v>-</v>
      </c>
    </row>
    <row r="59" spans="1:5" ht="15" customHeight="1" x14ac:dyDescent="0.25">
      <c r="A59" s="621"/>
      <c r="B59" s="621"/>
      <c r="C59" s="622"/>
      <c r="D59" s="179" t="str">
        <f>IFERROR(VLOOKUP(A59,#REF!,3,FALSE),"-")</f>
        <v>-</v>
      </c>
      <c r="E59" s="180" t="str">
        <f t="shared" si="1"/>
        <v>-</v>
      </c>
    </row>
    <row r="60" spans="1:5" ht="15" customHeight="1" x14ac:dyDescent="0.25">
      <c r="A60" s="621"/>
      <c r="B60" s="621"/>
      <c r="C60" s="622"/>
      <c r="D60" s="179" t="str">
        <f>IFERROR(VLOOKUP(A60,#REF!,3,FALSE),"-")</f>
        <v>-</v>
      </c>
      <c r="E60" s="180" t="str">
        <f t="shared" si="1"/>
        <v>-</v>
      </c>
    </row>
    <row r="61" spans="1:5" ht="15" customHeight="1" x14ac:dyDescent="0.25">
      <c r="A61" s="621"/>
      <c r="B61" s="621"/>
      <c r="C61" s="622"/>
      <c r="D61" s="179" t="str">
        <f>IFERROR(VLOOKUP(A61,#REF!,3,FALSE),"-")</f>
        <v>-</v>
      </c>
      <c r="E61" s="180" t="str">
        <f t="shared" si="1"/>
        <v>-</v>
      </c>
    </row>
    <row r="62" spans="1:5" ht="15" customHeight="1" x14ac:dyDescent="0.25">
      <c r="A62" s="621"/>
      <c r="B62" s="621"/>
      <c r="C62" s="622"/>
      <c r="D62" s="179" t="str">
        <f>IFERROR(VLOOKUP(A62,#REF!,3,FALSE),"-")</f>
        <v>-</v>
      </c>
      <c r="E62" s="180" t="str">
        <f t="shared" si="1"/>
        <v>-</v>
      </c>
    </row>
    <row r="63" spans="1:5" ht="15" customHeight="1" x14ac:dyDescent="0.25">
      <c r="A63" s="621"/>
      <c r="B63" s="621"/>
      <c r="C63" s="622"/>
      <c r="D63" s="179" t="str">
        <f>IFERROR(VLOOKUP(A63,#REF!,3,FALSE),"-")</f>
        <v>-</v>
      </c>
      <c r="E63" s="180" t="str">
        <f t="shared" si="1"/>
        <v>-</v>
      </c>
    </row>
    <row r="64" spans="1:5" ht="15" customHeight="1" x14ac:dyDescent="0.25">
      <c r="A64" s="621"/>
      <c r="B64" s="621"/>
      <c r="C64" s="622"/>
      <c r="D64" s="179" t="str">
        <f>IFERROR(VLOOKUP(A64,#REF!,3,FALSE),"-")</f>
        <v>-</v>
      </c>
      <c r="E64" s="180" t="str">
        <f t="shared" si="1"/>
        <v>-</v>
      </c>
    </row>
    <row r="65" spans="1:5" ht="15" customHeight="1" x14ac:dyDescent="0.25">
      <c r="A65" s="621"/>
      <c r="B65" s="621"/>
      <c r="C65" s="622"/>
      <c r="D65" s="179" t="str">
        <f>IFERROR(VLOOKUP(A65,#REF!,3,FALSE),"-")</f>
        <v>-</v>
      </c>
      <c r="E65" s="180" t="str">
        <f t="shared" si="1"/>
        <v>-</v>
      </c>
    </row>
    <row r="66" spans="1:5" ht="15" customHeight="1" x14ac:dyDescent="0.25">
      <c r="A66" s="621"/>
      <c r="B66" s="621"/>
      <c r="C66" s="622"/>
      <c r="D66" s="179" t="str">
        <f>IFERROR(VLOOKUP(A66,#REF!,3,FALSE),"-")</f>
        <v>-</v>
      </c>
      <c r="E66" s="180" t="str">
        <f t="shared" si="1"/>
        <v>-</v>
      </c>
    </row>
    <row r="67" spans="1:5" ht="15" customHeight="1" x14ac:dyDescent="0.25">
      <c r="A67" s="621"/>
      <c r="B67" s="621"/>
      <c r="C67" s="622"/>
      <c r="D67" s="179" t="str">
        <f>IFERROR(VLOOKUP(A67,#REF!,3,FALSE),"-")</f>
        <v>-</v>
      </c>
      <c r="E67" s="180" t="str">
        <f t="shared" si="1"/>
        <v>-</v>
      </c>
    </row>
    <row r="68" spans="1:5" ht="15" customHeight="1" x14ac:dyDescent="0.25">
      <c r="A68" s="621"/>
      <c r="B68" s="621"/>
      <c r="C68" s="622"/>
      <c r="D68" s="179" t="str">
        <f>IFERROR(VLOOKUP(A68,#REF!,3,FALSE),"-")</f>
        <v>-</v>
      </c>
      <c r="E68" s="180" t="str">
        <f t="shared" si="1"/>
        <v>-</v>
      </c>
    </row>
    <row r="69" spans="1:5" ht="15" customHeight="1" x14ac:dyDescent="0.25">
      <c r="A69" s="621"/>
      <c r="B69" s="621"/>
      <c r="C69" s="622"/>
      <c r="D69" s="179" t="str">
        <f>IFERROR(VLOOKUP(A69,#REF!,3,FALSE),"-")</f>
        <v>-</v>
      </c>
      <c r="E69" s="180" t="str">
        <f t="shared" si="1"/>
        <v>-</v>
      </c>
    </row>
    <row r="70" spans="1:5" ht="15" customHeight="1" x14ac:dyDescent="0.25">
      <c r="A70" s="621"/>
      <c r="B70" s="621"/>
      <c r="C70" s="622"/>
      <c r="D70" s="179" t="str">
        <f>IFERROR(VLOOKUP(A70,#REF!,3,FALSE),"-")</f>
        <v>-</v>
      </c>
      <c r="E70" s="180" t="str">
        <f t="shared" si="1"/>
        <v>-</v>
      </c>
    </row>
    <row r="71" spans="1:5" ht="15" customHeight="1" x14ac:dyDescent="0.25">
      <c r="A71" s="621"/>
      <c r="B71" s="621"/>
      <c r="C71" s="622"/>
      <c r="D71" s="179" t="str">
        <f>IFERROR(VLOOKUP(A71,#REF!,3,FALSE),"-")</f>
        <v>-</v>
      </c>
      <c r="E71" s="180" t="str">
        <f t="shared" si="1"/>
        <v>-</v>
      </c>
    </row>
    <row r="72" spans="1:5" ht="15" customHeight="1" x14ac:dyDescent="0.25">
      <c r="A72" s="621"/>
      <c r="B72" s="621"/>
      <c r="C72" s="622"/>
      <c r="D72" s="179" t="str">
        <f>IFERROR(VLOOKUP(A72,#REF!,3,FALSE),"-")</f>
        <v>-</v>
      </c>
      <c r="E72" s="180" t="str">
        <f t="shared" si="1"/>
        <v>-</v>
      </c>
    </row>
    <row r="73" spans="1:5" ht="15" customHeight="1" x14ac:dyDescent="0.25">
      <c r="A73" s="621"/>
      <c r="B73" s="621"/>
      <c r="C73" s="622"/>
      <c r="D73" s="179" t="str">
        <f>IFERROR(VLOOKUP(A73,#REF!,3,FALSE),"-")</f>
        <v>-</v>
      </c>
      <c r="E73" s="180" t="str">
        <f t="shared" si="1"/>
        <v>-</v>
      </c>
    </row>
    <row r="74" spans="1:5" ht="15" customHeight="1" x14ac:dyDescent="0.25">
      <c r="A74" s="621"/>
      <c r="B74" s="621"/>
      <c r="C74" s="622"/>
      <c r="D74" s="179" t="str">
        <f>IFERROR(VLOOKUP(A74,#REF!,3,FALSE),"-")</f>
        <v>-</v>
      </c>
      <c r="E74" s="180" t="str">
        <f t="shared" si="1"/>
        <v>-</v>
      </c>
    </row>
    <row r="75" spans="1:5" ht="15" customHeight="1" x14ac:dyDescent="0.25">
      <c r="A75" s="621"/>
      <c r="B75" s="621"/>
      <c r="C75" s="622"/>
      <c r="D75" s="179" t="str">
        <f>IFERROR(VLOOKUP(A75,#REF!,3,FALSE),"-")</f>
        <v>-</v>
      </c>
      <c r="E75" s="180" t="str">
        <f t="shared" si="1"/>
        <v>-</v>
      </c>
    </row>
    <row r="76" spans="1:5" ht="15" customHeight="1" x14ac:dyDescent="0.25">
      <c r="A76" s="621"/>
      <c r="B76" s="621"/>
      <c r="C76" s="622"/>
      <c r="D76" s="179" t="str">
        <f>IFERROR(VLOOKUP(A76,#REF!,3,FALSE),"-")</f>
        <v>-</v>
      </c>
      <c r="E76" s="180" t="str">
        <f t="shared" si="1"/>
        <v>-</v>
      </c>
    </row>
    <row r="77" spans="1:5" ht="15" customHeight="1" x14ac:dyDescent="0.25">
      <c r="A77" s="621"/>
      <c r="B77" s="621"/>
      <c r="C77" s="622"/>
      <c r="D77" s="179" t="str">
        <f>IFERROR(VLOOKUP(A77,#REF!,3,FALSE),"-")</f>
        <v>-</v>
      </c>
      <c r="E77" s="180" t="str">
        <f t="shared" ref="E77:E108" si="2">IFERROR(C77/D77*100000,"-")</f>
        <v>-</v>
      </c>
    </row>
    <row r="78" spans="1:5" ht="15" customHeight="1" x14ac:dyDescent="0.25">
      <c r="A78" s="621"/>
      <c r="B78" s="621"/>
      <c r="C78" s="622"/>
      <c r="D78" s="179" t="str">
        <f>IFERROR(VLOOKUP(A78,#REF!,3,FALSE),"-")</f>
        <v>-</v>
      </c>
      <c r="E78" s="180" t="str">
        <f t="shared" si="2"/>
        <v>-</v>
      </c>
    </row>
    <row r="79" spans="1:5" ht="15" customHeight="1" x14ac:dyDescent="0.25">
      <c r="A79" s="621"/>
      <c r="B79" s="621"/>
      <c r="C79" s="622"/>
      <c r="D79" s="179" t="str">
        <f>IFERROR(VLOOKUP(A79,#REF!,3,FALSE),"-")</f>
        <v>-</v>
      </c>
      <c r="E79" s="180" t="str">
        <f t="shared" si="2"/>
        <v>-</v>
      </c>
    </row>
    <row r="80" spans="1:5" ht="15" customHeight="1" x14ac:dyDescent="0.25">
      <c r="A80" s="621"/>
      <c r="B80" s="621"/>
      <c r="C80" s="622"/>
      <c r="D80" s="179" t="str">
        <f>IFERROR(VLOOKUP(A80,#REF!,3,FALSE),"-")</f>
        <v>-</v>
      </c>
      <c r="E80" s="180" t="str">
        <f t="shared" si="2"/>
        <v>-</v>
      </c>
    </row>
    <row r="81" spans="1:5" ht="15" customHeight="1" x14ac:dyDescent="0.25">
      <c r="A81" s="621"/>
      <c r="B81" s="621"/>
      <c r="C81" s="622"/>
      <c r="D81" s="179" t="str">
        <f>IFERROR(VLOOKUP(A81,#REF!,3,FALSE),"-")</f>
        <v>-</v>
      </c>
      <c r="E81" s="180" t="str">
        <f t="shared" si="2"/>
        <v>-</v>
      </c>
    </row>
    <row r="82" spans="1:5" ht="15" customHeight="1" x14ac:dyDescent="0.25">
      <c r="A82" s="621"/>
      <c r="B82" s="621"/>
      <c r="C82" s="622"/>
      <c r="D82" s="179" t="str">
        <f>IFERROR(VLOOKUP(A82,#REF!,3,FALSE),"-")</f>
        <v>-</v>
      </c>
      <c r="E82" s="180" t="str">
        <f t="shared" si="2"/>
        <v>-</v>
      </c>
    </row>
    <row r="83" spans="1:5" ht="15" customHeight="1" x14ac:dyDescent="0.25">
      <c r="A83" s="621"/>
      <c r="B83" s="621"/>
      <c r="C83" s="622"/>
      <c r="D83" s="179" t="str">
        <f>IFERROR(VLOOKUP(A83,#REF!,3,FALSE),"-")</f>
        <v>-</v>
      </c>
      <c r="E83" s="180" t="str">
        <f t="shared" si="2"/>
        <v>-</v>
      </c>
    </row>
    <row r="84" spans="1:5" ht="15" customHeight="1" x14ac:dyDescent="0.25">
      <c r="A84" s="621"/>
      <c r="B84" s="621"/>
      <c r="C84" s="622"/>
      <c r="D84" s="179" t="str">
        <f>IFERROR(VLOOKUP(A84,#REF!,3,FALSE),"-")</f>
        <v>-</v>
      </c>
      <c r="E84" s="180" t="str">
        <f t="shared" si="2"/>
        <v>-</v>
      </c>
    </row>
    <row r="85" spans="1:5" ht="15" customHeight="1" x14ac:dyDescent="0.25">
      <c r="A85" s="621"/>
      <c r="B85" s="621"/>
      <c r="C85" s="622"/>
      <c r="D85" s="179" t="str">
        <f>IFERROR(VLOOKUP(A85,#REF!,3,FALSE),"-")</f>
        <v>-</v>
      </c>
      <c r="E85" s="180" t="str">
        <f t="shared" si="2"/>
        <v>-</v>
      </c>
    </row>
    <row r="86" spans="1:5" ht="15" customHeight="1" x14ac:dyDescent="0.25">
      <c r="A86" s="621"/>
      <c r="B86" s="621"/>
      <c r="C86" s="622"/>
      <c r="D86" s="179" t="str">
        <f>IFERROR(VLOOKUP(A86,#REF!,3,FALSE),"-")</f>
        <v>-</v>
      </c>
      <c r="E86" s="180" t="str">
        <f t="shared" si="2"/>
        <v>-</v>
      </c>
    </row>
    <row r="87" spans="1:5" ht="15" customHeight="1" x14ac:dyDescent="0.25">
      <c r="A87" s="621"/>
      <c r="B87" s="621"/>
      <c r="C87" s="622"/>
      <c r="D87" s="179" t="str">
        <f>IFERROR(VLOOKUP(A87,#REF!,3,FALSE),"-")</f>
        <v>-</v>
      </c>
      <c r="E87" s="180" t="str">
        <f t="shared" si="2"/>
        <v>-</v>
      </c>
    </row>
    <row r="88" spans="1:5" ht="15" customHeight="1" x14ac:dyDescent="0.25">
      <c r="A88" s="621"/>
      <c r="B88" s="621"/>
      <c r="C88" s="622"/>
      <c r="D88" s="179" t="str">
        <f>IFERROR(VLOOKUP(A88,#REF!,3,FALSE),"-")</f>
        <v>-</v>
      </c>
      <c r="E88" s="180" t="str">
        <f t="shared" si="2"/>
        <v>-</v>
      </c>
    </row>
    <row r="89" spans="1:5" ht="15" customHeight="1" x14ac:dyDescent="0.25">
      <c r="A89" s="621"/>
      <c r="B89" s="621"/>
      <c r="C89" s="622"/>
      <c r="D89" s="179" t="str">
        <f>IFERROR(VLOOKUP(A89,#REF!,3,FALSE),"-")</f>
        <v>-</v>
      </c>
      <c r="E89" s="180" t="str">
        <f t="shared" si="2"/>
        <v>-</v>
      </c>
    </row>
    <row r="90" spans="1:5" ht="15" customHeight="1" x14ac:dyDescent="0.25">
      <c r="A90" s="621"/>
      <c r="B90" s="621"/>
      <c r="C90" s="622"/>
      <c r="D90" s="179" t="str">
        <f>IFERROR(VLOOKUP(A90,#REF!,3,FALSE),"-")</f>
        <v>-</v>
      </c>
      <c r="E90" s="180" t="str">
        <f t="shared" si="2"/>
        <v>-</v>
      </c>
    </row>
    <row r="91" spans="1:5" ht="15" customHeight="1" x14ac:dyDescent="0.25">
      <c r="A91" s="621"/>
      <c r="B91" s="621"/>
      <c r="C91" s="622"/>
      <c r="D91" s="179" t="str">
        <f>IFERROR(VLOOKUP(A91,#REF!,3,FALSE),"-")</f>
        <v>-</v>
      </c>
      <c r="E91" s="180" t="str">
        <f t="shared" si="2"/>
        <v>-</v>
      </c>
    </row>
    <row r="92" spans="1:5" ht="15" customHeight="1" x14ac:dyDescent="0.25">
      <c r="A92" s="621"/>
      <c r="B92" s="621"/>
      <c r="C92" s="622"/>
      <c r="D92" s="179" t="str">
        <f>IFERROR(VLOOKUP(A92,#REF!,3,FALSE),"-")</f>
        <v>-</v>
      </c>
      <c r="E92" s="180" t="str">
        <f t="shared" si="2"/>
        <v>-</v>
      </c>
    </row>
    <row r="93" spans="1:5" ht="15" customHeight="1" x14ac:dyDescent="0.25">
      <c r="A93" s="621"/>
      <c r="B93" s="621"/>
      <c r="C93" s="622"/>
      <c r="D93" s="179" t="str">
        <f>IFERROR(VLOOKUP(A93,#REF!,3,FALSE),"-")</f>
        <v>-</v>
      </c>
      <c r="E93" s="180" t="str">
        <f t="shared" si="2"/>
        <v>-</v>
      </c>
    </row>
    <row r="94" spans="1:5" ht="15" customHeight="1" x14ac:dyDescent="0.25">
      <c r="A94" s="621"/>
      <c r="B94" s="621"/>
      <c r="C94" s="622"/>
      <c r="D94" s="179" t="str">
        <f>IFERROR(VLOOKUP(A94,#REF!,3,FALSE),"-")</f>
        <v>-</v>
      </c>
      <c r="E94" s="180" t="str">
        <f t="shared" si="2"/>
        <v>-</v>
      </c>
    </row>
    <row r="95" spans="1:5" ht="15" customHeight="1" x14ac:dyDescent="0.25">
      <c r="A95" s="621"/>
      <c r="B95" s="621"/>
      <c r="C95" s="622"/>
      <c r="D95" s="179" t="str">
        <f>IFERROR(VLOOKUP(A95,#REF!,3,FALSE),"-")</f>
        <v>-</v>
      </c>
      <c r="E95" s="180" t="str">
        <f t="shared" si="2"/>
        <v>-</v>
      </c>
    </row>
    <row r="96" spans="1:5" ht="15" customHeight="1" x14ac:dyDescent="0.25">
      <c r="A96" s="621"/>
      <c r="B96" s="621"/>
      <c r="C96" s="622"/>
      <c r="D96" s="179" t="str">
        <f>IFERROR(VLOOKUP(A96,#REF!,3,FALSE),"-")</f>
        <v>-</v>
      </c>
      <c r="E96" s="180" t="str">
        <f t="shared" si="2"/>
        <v>-</v>
      </c>
    </row>
    <row r="97" spans="1:5" ht="15" customHeight="1" x14ac:dyDescent="0.25">
      <c r="A97" s="621"/>
      <c r="B97" s="621"/>
      <c r="C97" s="622"/>
      <c r="D97" s="179" t="str">
        <f>IFERROR(VLOOKUP(A97,#REF!,3,FALSE),"-")</f>
        <v>-</v>
      </c>
      <c r="E97" s="180" t="str">
        <f t="shared" si="2"/>
        <v>-</v>
      </c>
    </row>
    <row r="98" spans="1:5" ht="15" customHeight="1" x14ac:dyDescent="0.25">
      <c r="A98" s="621"/>
      <c r="B98" s="621"/>
      <c r="C98" s="622"/>
      <c r="D98" s="179" t="str">
        <f>IFERROR(VLOOKUP(A98,#REF!,3,FALSE),"-")</f>
        <v>-</v>
      </c>
      <c r="E98" s="180" t="str">
        <f t="shared" si="2"/>
        <v>-</v>
      </c>
    </row>
    <row r="99" spans="1:5" ht="15" customHeight="1" x14ac:dyDescent="0.25">
      <c r="A99" s="621"/>
      <c r="B99" s="621"/>
      <c r="C99" s="622"/>
      <c r="D99" s="179" t="str">
        <f>IFERROR(VLOOKUP(A99,#REF!,3,FALSE),"-")</f>
        <v>-</v>
      </c>
      <c r="E99" s="180" t="str">
        <f t="shared" si="2"/>
        <v>-</v>
      </c>
    </row>
    <row r="100" spans="1:5" ht="15" customHeight="1" x14ac:dyDescent="0.25">
      <c r="A100" s="621"/>
      <c r="B100" s="621"/>
      <c r="C100" s="622"/>
      <c r="D100" s="179" t="str">
        <f>IFERROR(VLOOKUP(A100,#REF!,3,FALSE),"-")</f>
        <v>-</v>
      </c>
      <c r="E100" s="180" t="str">
        <f t="shared" si="2"/>
        <v>-</v>
      </c>
    </row>
    <row r="101" spans="1:5" ht="15" customHeight="1" x14ac:dyDescent="0.25">
      <c r="A101" s="621"/>
      <c r="B101" s="621"/>
      <c r="C101" s="622"/>
      <c r="D101" s="179" t="str">
        <f>IFERROR(VLOOKUP(A101,#REF!,3,FALSE),"-")</f>
        <v>-</v>
      </c>
      <c r="E101" s="180" t="str">
        <f t="shared" si="2"/>
        <v>-</v>
      </c>
    </row>
    <row r="102" spans="1:5" ht="15" customHeight="1" x14ac:dyDescent="0.25">
      <c r="A102" s="621"/>
      <c r="B102" s="621"/>
      <c r="C102" s="622"/>
      <c r="D102" s="179" t="str">
        <f>IFERROR(VLOOKUP(A102,#REF!,3,FALSE),"-")</f>
        <v>-</v>
      </c>
      <c r="E102" s="180" t="str">
        <f t="shared" si="2"/>
        <v>-</v>
      </c>
    </row>
    <row r="103" spans="1:5" ht="15" customHeight="1" x14ac:dyDescent="0.25">
      <c r="A103" s="621"/>
      <c r="B103" s="621"/>
      <c r="C103" s="622"/>
      <c r="D103" s="179" t="str">
        <f>IFERROR(VLOOKUP(A103,#REF!,3,FALSE),"-")</f>
        <v>-</v>
      </c>
      <c r="E103" s="180" t="str">
        <f t="shared" si="2"/>
        <v>-</v>
      </c>
    </row>
    <row r="104" spans="1:5" ht="15" customHeight="1" x14ac:dyDescent="0.25">
      <c r="A104" s="621"/>
      <c r="B104" s="621"/>
      <c r="C104" s="622"/>
      <c r="D104" s="179" t="str">
        <f>IFERROR(VLOOKUP(A104,#REF!,3,FALSE),"-")</f>
        <v>-</v>
      </c>
      <c r="E104" s="180" t="str">
        <f t="shared" si="2"/>
        <v>-</v>
      </c>
    </row>
    <row r="105" spans="1:5" ht="15" customHeight="1" x14ac:dyDescent="0.25">
      <c r="A105" s="621"/>
      <c r="B105" s="621"/>
      <c r="C105" s="622"/>
      <c r="D105" s="179" t="str">
        <f>IFERROR(VLOOKUP(A105,#REF!,3,FALSE),"-")</f>
        <v>-</v>
      </c>
      <c r="E105" s="180" t="str">
        <f t="shared" si="2"/>
        <v>-</v>
      </c>
    </row>
    <row r="106" spans="1:5" ht="15" customHeight="1" x14ac:dyDescent="0.25">
      <c r="A106" s="621"/>
      <c r="B106" s="621"/>
      <c r="C106" s="622"/>
      <c r="D106" s="179" t="str">
        <f>IFERROR(VLOOKUP(A106,#REF!,3,FALSE),"-")</f>
        <v>-</v>
      </c>
      <c r="E106" s="180" t="str">
        <f t="shared" si="2"/>
        <v>-</v>
      </c>
    </row>
    <row r="107" spans="1:5" ht="15" customHeight="1" x14ac:dyDescent="0.25">
      <c r="A107" s="621"/>
      <c r="B107" s="621"/>
      <c r="C107" s="622"/>
      <c r="D107" s="179" t="str">
        <f>IFERROR(VLOOKUP(A107,#REF!,3,FALSE),"-")</f>
        <v>-</v>
      </c>
      <c r="E107" s="180" t="str">
        <f t="shared" si="2"/>
        <v>-</v>
      </c>
    </row>
    <row r="108" spans="1:5" ht="15" customHeight="1" x14ac:dyDescent="0.25">
      <c r="A108" s="621"/>
      <c r="B108" s="621"/>
      <c r="C108" s="622"/>
      <c r="D108" s="179" t="str">
        <f>IFERROR(VLOOKUP(A108,#REF!,3,FALSE),"-")</f>
        <v>-</v>
      </c>
      <c r="E108" s="180" t="str">
        <f t="shared" si="2"/>
        <v>-</v>
      </c>
    </row>
    <row r="109" spans="1:5" ht="15" customHeight="1" x14ac:dyDescent="0.25">
      <c r="A109" s="621"/>
      <c r="B109" s="621"/>
      <c r="C109" s="622"/>
      <c r="D109" s="179" t="str">
        <f>IFERROR(VLOOKUP(A109,#REF!,3,FALSE),"-")</f>
        <v>-</v>
      </c>
      <c r="E109" s="180" t="str">
        <f t="shared" ref="E109:E119" si="3">IFERROR(C109/D109*100000,"-")</f>
        <v>-</v>
      </c>
    </row>
    <row r="110" spans="1:5" ht="15" customHeight="1" x14ac:dyDescent="0.25">
      <c r="A110" s="621"/>
      <c r="B110" s="621"/>
      <c r="C110" s="622"/>
      <c r="D110" s="179" t="str">
        <f>IFERROR(VLOOKUP(A110,#REF!,3,FALSE),"-")</f>
        <v>-</v>
      </c>
      <c r="E110" s="180" t="str">
        <f t="shared" si="3"/>
        <v>-</v>
      </c>
    </row>
    <row r="111" spans="1:5" ht="15" customHeight="1" x14ac:dyDescent="0.25">
      <c r="A111" s="621"/>
      <c r="B111" s="621"/>
      <c r="C111" s="622"/>
      <c r="D111" s="179" t="str">
        <f>IFERROR(VLOOKUP(A111,#REF!,3,FALSE),"-")</f>
        <v>-</v>
      </c>
      <c r="E111" s="180" t="str">
        <f t="shared" si="3"/>
        <v>-</v>
      </c>
    </row>
    <row r="112" spans="1:5" ht="15" customHeight="1" x14ac:dyDescent="0.25">
      <c r="A112" s="621"/>
      <c r="B112" s="621"/>
      <c r="C112" s="622"/>
      <c r="D112" s="179" t="str">
        <f>IFERROR(VLOOKUP(A112,#REF!,3,FALSE),"-")</f>
        <v>-</v>
      </c>
      <c r="E112" s="180" t="str">
        <f t="shared" si="3"/>
        <v>-</v>
      </c>
    </row>
    <row r="113" spans="1:6" ht="15" customHeight="1" x14ac:dyDescent="0.25">
      <c r="A113" s="621"/>
      <c r="B113" s="621"/>
      <c r="C113" s="622"/>
      <c r="D113" s="179" t="str">
        <f>IFERROR(VLOOKUP(A113,#REF!,3,FALSE),"-")</f>
        <v>-</v>
      </c>
      <c r="E113" s="180" t="str">
        <f t="shared" si="3"/>
        <v>-</v>
      </c>
    </row>
    <row r="114" spans="1:6" ht="15" customHeight="1" x14ac:dyDescent="0.25">
      <c r="A114" s="621"/>
      <c r="B114" s="621"/>
      <c r="C114" s="622"/>
      <c r="D114" s="179" t="str">
        <f>IFERROR(VLOOKUP(A114,#REF!,3,FALSE),"-")</f>
        <v>-</v>
      </c>
      <c r="E114" s="180" t="str">
        <f t="shared" si="3"/>
        <v>-</v>
      </c>
    </row>
    <row r="115" spans="1:6" ht="15" customHeight="1" x14ac:dyDescent="0.25">
      <c r="A115" s="621"/>
      <c r="B115" s="621"/>
      <c r="C115" s="622"/>
      <c r="D115" s="179" t="str">
        <f>IFERROR(VLOOKUP(A115,#REF!,3,FALSE),"-")</f>
        <v>-</v>
      </c>
      <c r="E115" s="180" t="str">
        <f t="shared" si="3"/>
        <v>-</v>
      </c>
    </row>
    <row r="116" spans="1:6" ht="15" customHeight="1" x14ac:dyDescent="0.25">
      <c r="A116" s="621"/>
      <c r="B116" s="621"/>
      <c r="C116" s="622"/>
      <c r="D116" s="179" t="str">
        <f>IFERROR(VLOOKUP(A116,#REF!,3,FALSE),"-")</f>
        <v>-</v>
      </c>
      <c r="E116" s="180" t="str">
        <f t="shared" si="3"/>
        <v>-</v>
      </c>
    </row>
    <row r="117" spans="1:6" ht="15" customHeight="1" x14ac:dyDescent="0.25">
      <c r="A117" s="621"/>
      <c r="B117" s="621"/>
      <c r="C117" s="622"/>
      <c r="D117" s="179" t="str">
        <f>IFERROR(VLOOKUP(A117,#REF!,3,FALSE),"-")</f>
        <v>-</v>
      </c>
      <c r="E117" s="180" t="str">
        <f t="shared" si="3"/>
        <v>-</v>
      </c>
    </row>
    <row r="118" spans="1:6" ht="15" customHeight="1" x14ac:dyDescent="0.25">
      <c r="A118" s="621"/>
      <c r="B118" s="621"/>
      <c r="C118" s="622"/>
      <c r="D118" s="179" t="str">
        <f>IFERROR(VLOOKUP(A118,#REF!,3,FALSE),"-")</f>
        <v>-</v>
      </c>
      <c r="E118" s="180" t="str">
        <f t="shared" si="3"/>
        <v>-</v>
      </c>
    </row>
    <row r="119" spans="1:6" ht="15" customHeight="1" x14ac:dyDescent="0.25">
      <c r="A119" s="621"/>
      <c r="B119" s="621"/>
      <c r="C119" s="622"/>
      <c r="D119" s="541" t="str">
        <f>IFERROR(VLOOKUP(A119,#REF!,3,FALSE),"-")</f>
        <v>-</v>
      </c>
      <c r="E119" s="723" t="str">
        <f t="shared" si="3"/>
        <v>-</v>
      </c>
    </row>
    <row r="120" spans="1:6" ht="15" customHeight="1" thickBot="1" x14ac:dyDescent="0.3">
      <c r="A120" s="645"/>
      <c r="B120" s="645"/>
      <c r="C120" s="646"/>
      <c r="D120" s="590"/>
      <c r="E120" s="590"/>
    </row>
    <row r="121" spans="1:6" x14ac:dyDescent="0.25">
      <c r="A121" s="678" t="s">
        <v>826</v>
      </c>
      <c r="B121" s="678"/>
      <c r="C121" s="623"/>
      <c r="D121" s="348"/>
      <c r="E121" s="348"/>
      <c r="F121" s="348"/>
    </row>
    <row r="122" spans="1:6" x14ac:dyDescent="0.25">
      <c r="A122" s="352"/>
      <c r="B122" s="352"/>
    </row>
    <row r="123" spans="1:6" ht="39.450000000000003" customHeight="1" x14ac:dyDescent="0.25">
      <c r="A123" s="677" t="s">
        <v>157</v>
      </c>
      <c r="B123" s="677"/>
      <c r="C123" s="677"/>
      <c r="D123" s="677"/>
      <c r="E123" s="677"/>
      <c r="F123" s="351"/>
    </row>
    <row r="124" spans="1:6" ht="12.75" customHeight="1" x14ac:dyDescent="0.25">
      <c r="A124" s="352"/>
      <c r="B124" s="352"/>
    </row>
    <row r="125" spans="1:6" x14ac:dyDescent="0.25">
      <c r="A125" s="674" t="s">
        <v>93</v>
      </c>
      <c r="B125" s="674"/>
      <c r="C125" s="674"/>
      <c r="D125" s="674"/>
      <c r="E125" s="674"/>
      <c r="F125" s="349"/>
    </row>
    <row r="126" spans="1:6" ht="30.75" customHeight="1" x14ac:dyDescent="0.25">
      <c r="A126" s="673" t="s">
        <v>94</v>
      </c>
      <c r="B126" s="673"/>
      <c r="C126" s="673"/>
      <c r="D126" s="673"/>
      <c r="E126" s="673"/>
      <c r="F126" s="348"/>
    </row>
    <row r="127" spans="1:6" ht="32.25" customHeight="1" x14ac:dyDescent="0.25"/>
    <row r="128" spans="1:6" ht="32.25" customHeight="1" x14ac:dyDescent="0.25"/>
    <row r="129" ht="29.55" customHeight="1" x14ac:dyDescent="0.25"/>
  </sheetData>
  <sortState ref="A13:C147">
    <sortCondition ref="B13:B147"/>
  </sortState>
  <mergeCells count="6">
    <mergeCell ref="A126:E126"/>
    <mergeCell ref="A3:C3"/>
    <mergeCell ref="A5:E5"/>
    <mergeCell ref="A121:B121"/>
    <mergeCell ref="A123:E123"/>
    <mergeCell ref="A125:E125"/>
  </mergeCells>
  <conditionalFormatting sqref="A13:A119">
    <cfRule type="duplicateValues" dxfId="19" priority="56"/>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workbookViewId="0"/>
  </sheetViews>
  <sheetFormatPr defaultColWidth="9" defaultRowHeight="13.2" x14ac:dyDescent="0.25"/>
  <cols>
    <col min="1" max="1" width="13.796875" style="1" customWidth="1"/>
    <col min="2" max="2" width="57" style="1" customWidth="1"/>
    <col min="3" max="3" width="13.19921875" style="1" customWidth="1"/>
    <col min="4" max="4" width="10.5" style="1" customWidth="1"/>
    <col min="5" max="5" width="14.5" style="1" customWidth="1"/>
    <col min="6" max="6" width="11.796875" style="1" customWidth="1"/>
    <col min="7" max="200" width="9" style="1"/>
    <col min="201" max="201" width="1.19921875" style="1" customWidth="1"/>
    <col min="202" max="202" width="70.59765625" style="1" customWidth="1"/>
    <col min="203" max="207" width="10.59765625" style="1" customWidth="1"/>
    <col min="208" max="456" width="9" style="1"/>
    <col min="457" max="457" width="1.19921875" style="1" customWidth="1"/>
    <col min="458" max="458" width="70.59765625" style="1" customWidth="1"/>
    <col min="459" max="463" width="10.59765625" style="1" customWidth="1"/>
    <col min="464" max="712" width="9" style="1"/>
    <col min="713" max="713" width="1.19921875" style="1" customWidth="1"/>
    <col min="714" max="714" width="70.59765625" style="1" customWidth="1"/>
    <col min="715" max="719" width="10.59765625" style="1" customWidth="1"/>
    <col min="720" max="968" width="9" style="1"/>
    <col min="969" max="969" width="1.19921875" style="1" customWidth="1"/>
    <col min="970" max="970" width="70.59765625" style="1" customWidth="1"/>
    <col min="971" max="975" width="10.59765625" style="1" customWidth="1"/>
    <col min="976" max="1224" width="9" style="1"/>
    <col min="1225" max="1225" width="1.19921875" style="1" customWidth="1"/>
    <col min="1226" max="1226" width="70.59765625" style="1" customWidth="1"/>
    <col min="1227" max="1231" width="10.59765625" style="1" customWidth="1"/>
    <col min="1232" max="1480" width="9" style="1"/>
    <col min="1481" max="1481" width="1.19921875" style="1" customWidth="1"/>
    <col min="1482" max="1482" width="70.59765625" style="1" customWidth="1"/>
    <col min="1483" max="1487" width="10.59765625" style="1" customWidth="1"/>
    <col min="1488" max="1736" width="9" style="1"/>
    <col min="1737" max="1737" width="1.19921875" style="1" customWidth="1"/>
    <col min="1738" max="1738" width="70.59765625" style="1" customWidth="1"/>
    <col min="1739" max="1743" width="10.59765625" style="1" customWidth="1"/>
    <col min="1744" max="1992" width="9" style="1"/>
    <col min="1993" max="1993" width="1.19921875" style="1" customWidth="1"/>
    <col min="1994" max="1994" width="70.59765625" style="1" customWidth="1"/>
    <col min="1995" max="1999" width="10.59765625" style="1" customWidth="1"/>
    <col min="2000" max="2248" width="9" style="1"/>
    <col min="2249" max="2249" width="1.19921875" style="1" customWidth="1"/>
    <col min="2250" max="2250" width="70.59765625" style="1" customWidth="1"/>
    <col min="2251" max="2255" width="10.59765625" style="1" customWidth="1"/>
    <col min="2256" max="2504" width="9" style="1"/>
    <col min="2505" max="2505" width="1.19921875" style="1" customWidth="1"/>
    <col min="2506" max="2506" width="70.59765625" style="1" customWidth="1"/>
    <col min="2507" max="2511" width="10.59765625" style="1" customWidth="1"/>
    <col min="2512" max="2760" width="9" style="1"/>
    <col min="2761" max="2761" width="1.19921875" style="1" customWidth="1"/>
    <col min="2762" max="2762" width="70.59765625" style="1" customWidth="1"/>
    <col min="2763" max="2767" width="10.59765625" style="1" customWidth="1"/>
    <col min="2768" max="3016" width="9" style="1"/>
    <col min="3017" max="3017" width="1.19921875" style="1" customWidth="1"/>
    <col min="3018" max="3018" width="70.59765625" style="1" customWidth="1"/>
    <col min="3019" max="3023" width="10.59765625" style="1" customWidth="1"/>
    <col min="3024" max="3272" width="9" style="1"/>
    <col min="3273" max="3273" width="1.19921875" style="1" customWidth="1"/>
    <col min="3274" max="3274" width="70.59765625" style="1" customWidth="1"/>
    <col min="3275" max="3279" width="10.59765625" style="1" customWidth="1"/>
    <col min="3280" max="3528" width="9" style="1"/>
    <col min="3529" max="3529" width="1.19921875" style="1" customWidth="1"/>
    <col min="3530" max="3530" width="70.59765625" style="1" customWidth="1"/>
    <col min="3531" max="3535" width="10.59765625" style="1" customWidth="1"/>
    <col min="3536" max="3784" width="9" style="1"/>
    <col min="3785" max="3785" width="1.19921875" style="1" customWidth="1"/>
    <col min="3786" max="3786" width="70.59765625" style="1" customWidth="1"/>
    <col min="3787" max="3791" width="10.59765625" style="1" customWidth="1"/>
    <col min="3792" max="4040" width="9" style="1"/>
    <col min="4041" max="4041" width="1.19921875" style="1" customWidth="1"/>
    <col min="4042" max="4042" width="70.59765625" style="1" customWidth="1"/>
    <col min="4043" max="4047" width="10.59765625" style="1" customWidth="1"/>
    <col min="4048" max="4296" width="9" style="1"/>
    <col min="4297" max="4297" width="1.19921875" style="1" customWidth="1"/>
    <col min="4298" max="4298" width="70.59765625" style="1" customWidth="1"/>
    <col min="4299" max="4303" width="10.59765625" style="1" customWidth="1"/>
    <col min="4304" max="4552" width="9" style="1"/>
    <col min="4553" max="4553" width="1.19921875" style="1" customWidth="1"/>
    <col min="4554" max="4554" width="70.59765625" style="1" customWidth="1"/>
    <col min="4555" max="4559" width="10.59765625" style="1" customWidth="1"/>
    <col min="4560" max="4808" width="9" style="1"/>
    <col min="4809" max="4809" width="1.19921875" style="1" customWidth="1"/>
    <col min="4810" max="4810" width="70.59765625" style="1" customWidth="1"/>
    <col min="4811" max="4815" width="10.59765625" style="1" customWidth="1"/>
    <col min="4816" max="5064" width="9" style="1"/>
    <col min="5065" max="5065" width="1.19921875" style="1" customWidth="1"/>
    <col min="5066" max="5066" width="70.59765625" style="1" customWidth="1"/>
    <col min="5067" max="5071" width="10.59765625" style="1" customWidth="1"/>
    <col min="5072" max="5320" width="9" style="1"/>
    <col min="5321" max="5321" width="1.19921875" style="1" customWidth="1"/>
    <col min="5322" max="5322" width="70.59765625" style="1" customWidth="1"/>
    <col min="5323" max="5327" width="10.59765625" style="1" customWidth="1"/>
    <col min="5328" max="5576" width="9" style="1"/>
    <col min="5577" max="5577" width="1.19921875" style="1" customWidth="1"/>
    <col min="5578" max="5578" width="70.59765625" style="1" customWidth="1"/>
    <col min="5579" max="5583" width="10.59765625" style="1" customWidth="1"/>
    <col min="5584" max="5832" width="9" style="1"/>
    <col min="5833" max="5833" width="1.19921875" style="1" customWidth="1"/>
    <col min="5834" max="5834" width="70.59765625" style="1" customWidth="1"/>
    <col min="5835" max="5839" width="10.59765625" style="1" customWidth="1"/>
    <col min="5840" max="6088" width="9" style="1"/>
    <col min="6089" max="6089" width="1.19921875" style="1" customWidth="1"/>
    <col min="6090" max="6090" width="70.59765625" style="1" customWidth="1"/>
    <col min="6091" max="6095" width="10.59765625" style="1" customWidth="1"/>
    <col min="6096" max="6344" width="9" style="1"/>
    <col min="6345" max="6345" width="1.19921875" style="1" customWidth="1"/>
    <col min="6346" max="6346" width="70.59765625" style="1" customWidth="1"/>
    <col min="6347" max="6351" width="10.59765625" style="1" customWidth="1"/>
    <col min="6352" max="6600" width="9" style="1"/>
    <col min="6601" max="6601" width="1.19921875" style="1" customWidth="1"/>
    <col min="6602" max="6602" width="70.59765625" style="1" customWidth="1"/>
    <col min="6603" max="6607" width="10.59765625" style="1" customWidth="1"/>
    <col min="6608" max="6856" width="9" style="1"/>
    <col min="6857" max="6857" width="1.19921875" style="1" customWidth="1"/>
    <col min="6858" max="6858" width="70.59765625" style="1" customWidth="1"/>
    <col min="6859" max="6863" width="10.59765625" style="1" customWidth="1"/>
    <col min="6864" max="7112" width="9" style="1"/>
    <col min="7113" max="7113" width="1.19921875" style="1" customWidth="1"/>
    <col min="7114" max="7114" width="70.59765625" style="1" customWidth="1"/>
    <col min="7115" max="7119" width="10.59765625" style="1" customWidth="1"/>
    <col min="7120" max="7368" width="9" style="1"/>
    <col min="7369" max="7369" width="1.19921875" style="1" customWidth="1"/>
    <col min="7370" max="7370" width="70.59765625" style="1" customWidth="1"/>
    <col min="7371" max="7375" width="10.59765625" style="1" customWidth="1"/>
    <col min="7376" max="7624" width="9" style="1"/>
    <col min="7625" max="7625" width="1.19921875" style="1" customWidth="1"/>
    <col min="7626" max="7626" width="70.59765625" style="1" customWidth="1"/>
    <col min="7627" max="7631" width="10.59765625" style="1" customWidth="1"/>
    <col min="7632" max="7880" width="9" style="1"/>
    <col min="7881" max="7881" width="1.19921875" style="1" customWidth="1"/>
    <col min="7882" max="7882" width="70.59765625" style="1" customWidth="1"/>
    <col min="7883" max="7887" width="10.59765625" style="1" customWidth="1"/>
    <col min="7888" max="8136" width="9" style="1"/>
    <col min="8137" max="8137" width="1.19921875" style="1" customWidth="1"/>
    <col min="8138" max="8138" width="70.59765625" style="1" customWidth="1"/>
    <col min="8139" max="8143" width="10.59765625" style="1" customWidth="1"/>
    <col min="8144" max="8392" width="9" style="1"/>
    <col min="8393" max="8393" width="1.19921875" style="1" customWidth="1"/>
    <col min="8394" max="8394" width="70.59765625" style="1" customWidth="1"/>
    <col min="8395" max="8399" width="10.59765625" style="1" customWidth="1"/>
    <col min="8400" max="8648" width="9" style="1"/>
    <col min="8649" max="8649" width="1.19921875" style="1" customWidth="1"/>
    <col min="8650" max="8650" width="70.59765625" style="1" customWidth="1"/>
    <col min="8651" max="8655" width="10.59765625" style="1" customWidth="1"/>
    <col min="8656" max="8904" width="9" style="1"/>
    <col min="8905" max="8905" width="1.19921875" style="1" customWidth="1"/>
    <col min="8906" max="8906" width="70.59765625" style="1" customWidth="1"/>
    <col min="8907" max="8911" width="10.59765625" style="1" customWidth="1"/>
    <col min="8912" max="9160" width="9" style="1"/>
    <col min="9161" max="9161" width="1.19921875" style="1" customWidth="1"/>
    <col min="9162" max="9162" width="70.59765625" style="1" customWidth="1"/>
    <col min="9163" max="9167" width="10.59765625" style="1" customWidth="1"/>
    <col min="9168" max="9416" width="9" style="1"/>
    <col min="9417" max="9417" width="1.19921875" style="1" customWidth="1"/>
    <col min="9418" max="9418" width="70.59765625" style="1" customWidth="1"/>
    <col min="9419" max="9423" width="10.59765625" style="1" customWidth="1"/>
    <col min="9424" max="9672" width="9" style="1"/>
    <col min="9673" max="9673" width="1.19921875" style="1" customWidth="1"/>
    <col min="9674" max="9674" width="70.59765625" style="1" customWidth="1"/>
    <col min="9675" max="9679" width="10.59765625" style="1" customWidth="1"/>
    <col min="9680" max="9928" width="9" style="1"/>
    <col min="9929" max="9929" width="1.19921875" style="1" customWidth="1"/>
    <col min="9930" max="9930" width="70.59765625" style="1" customWidth="1"/>
    <col min="9931" max="9935" width="10.59765625" style="1" customWidth="1"/>
    <col min="9936" max="10184" width="9" style="1"/>
    <col min="10185" max="10185" width="1.19921875" style="1" customWidth="1"/>
    <col min="10186" max="10186" width="70.59765625" style="1" customWidth="1"/>
    <col min="10187" max="10191" width="10.59765625" style="1" customWidth="1"/>
    <col min="10192" max="10440" width="9" style="1"/>
    <col min="10441" max="10441" width="1.19921875" style="1" customWidth="1"/>
    <col min="10442" max="10442" width="70.59765625" style="1" customWidth="1"/>
    <col min="10443" max="10447" width="10.59765625" style="1" customWidth="1"/>
    <col min="10448" max="10696" width="9" style="1"/>
    <col min="10697" max="10697" width="1.19921875" style="1" customWidth="1"/>
    <col min="10698" max="10698" width="70.59765625" style="1" customWidth="1"/>
    <col min="10699" max="10703" width="10.59765625" style="1" customWidth="1"/>
    <col min="10704" max="10952" width="9" style="1"/>
    <col min="10953" max="10953" width="1.19921875" style="1" customWidth="1"/>
    <col min="10954" max="10954" width="70.59765625" style="1" customWidth="1"/>
    <col min="10955" max="10959" width="10.59765625" style="1" customWidth="1"/>
    <col min="10960" max="11208" width="9" style="1"/>
    <col min="11209" max="11209" width="1.19921875" style="1" customWidth="1"/>
    <col min="11210" max="11210" width="70.59765625" style="1" customWidth="1"/>
    <col min="11211" max="11215" width="10.59765625" style="1" customWidth="1"/>
    <col min="11216" max="11464" width="9" style="1"/>
    <col min="11465" max="11465" width="1.19921875" style="1" customWidth="1"/>
    <col min="11466" max="11466" width="70.59765625" style="1" customWidth="1"/>
    <col min="11467" max="11471" width="10.59765625" style="1" customWidth="1"/>
    <col min="11472" max="11720" width="9" style="1"/>
    <col min="11721" max="11721" width="1.19921875" style="1" customWidth="1"/>
    <col min="11722" max="11722" width="70.59765625" style="1" customWidth="1"/>
    <col min="11723" max="11727" width="10.59765625" style="1" customWidth="1"/>
    <col min="11728" max="11976" width="9" style="1"/>
    <col min="11977" max="11977" width="1.19921875" style="1" customWidth="1"/>
    <col min="11978" max="11978" width="70.59765625" style="1" customWidth="1"/>
    <col min="11979" max="11983" width="10.59765625" style="1" customWidth="1"/>
    <col min="11984" max="12232" width="9" style="1"/>
    <col min="12233" max="12233" width="1.19921875" style="1" customWidth="1"/>
    <col min="12234" max="12234" width="70.59765625" style="1" customWidth="1"/>
    <col min="12235" max="12239" width="10.59765625" style="1" customWidth="1"/>
    <col min="12240" max="12488" width="9" style="1"/>
    <col min="12489" max="12489" width="1.19921875" style="1" customWidth="1"/>
    <col min="12490" max="12490" width="70.59765625" style="1" customWidth="1"/>
    <col min="12491" max="12495" width="10.59765625" style="1" customWidth="1"/>
    <col min="12496" max="12744" width="9" style="1"/>
    <col min="12745" max="12745" width="1.19921875" style="1" customWidth="1"/>
    <col min="12746" max="12746" width="70.59765625" style="1" customWidth="1"/>
    <col min="12747" max="12751" width="10.59765625" style="1" customWidth="1"/>
    <col min="12752" max="13000" width="9" style="1"/>
    <col min="13001" max="13001" width="1.19921875" style="1" customWidth="1"/>
    <col min="13002" max="13002" width="70.59765625" style="1" customWidth="1"/>
    <col min="13003" max="13007" width="10.59765625" style="1" customWidth="1"/>
    <col min="13008" max="13256" width="9" style="1"/>
    <col min="13257" max="13257" width="1.19921875" style="1" customWidth="1"/>
    <col min="13258" max="13258" width="70.59765625" style="1" customWidth="1"/>
    <col min="13259" max="13263" width="10.59765625" style="1" customWidth="1"/>
    <col min="13264" max="13512" width="9" style="1"/>
    <col min="13513" max="13513" width="1.19921875" style="1" customWidth="1"/>
    <col min="13514" max="13514" width="70.59765625" style="1" customWidth="1"/>
    <col min="13515" max="13519" width="10.59765625" style="1" customWidth="1"/>
    <col min="13520" max="13768" width="9" style="1"/>
    <col min="13769" max="13769" width="1.19921875" style="1" customWidth="1"/>
    <col min="13770" max="13770" width="70.59765625" style="1" customWidth="1"/>
    <col min="13771" max="13775" width="10.59765625" style="1" customWidth="1"/>
    <col min="13776" max="14024" width="9" style="1"/>
    <col min="14025" max="14025" width="1.19921875" style="1" customWidth="1"/>
    <col min="14026" max="14026" width="70.59765625" style="1" customWidth="1"/>
    <col min="14027" max="14031" width="10.59765625" style="1" customWidth="1"/>
    <col min="14032" max="14280" width="9" style="1"/>
    <col min="14281" max="14281" width="1.19921875" style="1" customWidth="1"/>
    <col min="14282" max="14282" width="70.59765625" style="1" customWidth="1"/>
    <col min="14283" max="14287" width="10.59765625" style="1" customWidth="1"/>
    <col min="14288" max="14536" width="9" style="1"/>
    <col min="14537" max="14537" width="1.19921875" style="1" customWidth="1"/>
    <col min="14538" max="14538" width="70.59765625" style="1" customWidth="1"/>
    <col min="14539" max="14543" width="10.59765625" style="1" customWidth="1"/>
    <col min="14544" max="14792" width="9" style="1"/>
    <col min="14793" max="14793" width="1.19921875" style="1" customWidth="1"/>
    <col min="14794" max="14794" width="70.59765625" style="1" customWidth="1"/>
    <col min="14795" max="14799" width="10.59765625" style="1" customWidth="1"/>
    <col min="14800" max="15048" width="9" style="1"/>
    <col min="15049" max="15049" width="1.19921875" style="1" customWidth="1"/>
    <col min="15050" max="15050" width="70.59765625" style="1" customWidth="1"/>
    <col min="15051" max="15055" width="10.59765625" style="1" customWidth="1"/>
    <col min="15056" max="15304" width="9" style="1"/>
    <col min="15305" max="15305" width="1.19921875" style="1" customWidth="1"/>
    <col min="15306" max="15306" width="70.59765625" style="1" customWidth="1"/>
    <col min="15307" max="15311" width="10.59765625" style="1" customWidth="1"/>
    <col min="15312" max="15560" width="9" style="1"/>
    <col min="15561" max="15561" width="1.19921875" style="1" customWidth="1"/>
    <col min="15562" max="15562" width="70.59765625" style="1" customWidth="1"/>
    <col min="15563" max="15567" width="10.59765625" style="1" customWidth="1"/>
    <col min="15568" max="16384" width="9" style="1"/>
  </cols>
  <sheetData>
    <row r="1" spans="1:17" ht="13.8" x14ac:dyDescent="0.25">
      <c r="A1" s="11" t="s">
        <v>15</v>
      </c>
      <c r="B1" s="61"/>
      <c r="C1" s="61"/>
      <c r="D1" s="61"/>
      <c r="E1" s="61"/>
    </row>
    <row r="2" spans="1:17" x14ac:dyDescent="0.25">
      <c r="A2" s="61"/>
      <c r="B2" s="61"/>
      <c r="C2" s="61"/>
      <c r="D2" s="61"/>
      <c r="E2" s="61"/>
    </row>
    <row r="3" spans="1:17" ht="30" customHeight="1" x14ac:dyDescent="0.25">
      <c r="A3" s="679" t="s">
        <v>832</v>
      </c>
      <c r="B3" s="679"/>
      <c r="C3" s="679"/>
    </row>
    <row r="4" spans="1:17" ht="16.5" customHeight="1" x14ac:dyDescent="0.25">
      <c r="A4" s="11"/>
      <c r="B4" s="11"/>
      <c r="Q4" s="45"/>
    </row>
    <row r="5" spans="1:17" ht="83.25" customHeight="1" x14ac:dyDescent="0.25">
      <c r="A5" s="673" t="s">
        <v>833</v>
      </c>
      <c r="B5" s="673"/>
      <c r="C5" s="673"/>
      <c r="D5" s="673"/>
      <c r="E5" s="673"/>
      <c r="F5" s="352"/>
    </row>
    <row r="6" spans="1:17" ht="13.8" thickBot="1" x14ac:dyDescent="0.3">
      <c r="A6" s="83"/>
      <c r="B6" s="83"/>
      <c r="C6" s="83"/>
      <c r="D6" s="83"/>
      <c r="E6" s="83"/>
    </row>
    <row r="7" spans="1:17" ht="42" customHeight="1" thickBot="1" x14ac:dyDescent="0.3">
      <c r="A7" s="98"/>
      <c r="B7" s="123" t="s">
        <v>158</v>
      </c>
      <c r="C7" s="119" t="s">
        <v>159</v>
      </c>
      <c r="D7" s="119" t="s">
        <v>96</v>
      </c>
      <c r="E7" s="119" t="s">
        <v>97</v>
      </c>
    </row>
    <row r="8" spans="1:17" x14ac:dyDescent="0.25">
      <c r="A8" s="352"/>
      <c r="B8" s="352"/>
    </row>
    <row r="9" spans="1:17" ht="15" customHeight="1" x14ac:dyDescent="0.25">
      <c r="A9" s="8" t="s">
        <v>98</v>
      </c>
      <c r="B9" s="4"/>
      <c r="C9" s="331" t="s">
        <v>887</v>
      </c>
      <c r="D9" s="178"/>
      <c r="E9" s="362"/>
    </row>
    <row r="10" spans="1:17" ht="15" customHeight="1" x14ac:dyDescent="0.25">
      <c r="A10" s="6"/>
      <c r="B10" s="6"/>
      <c r="C10" s="21"/>
      <c r="D10" s="130"/>
    </row>
    <row r="11" spans="1:17" ht="15" customHeight="1" x14ac:dyDescent="0.25">
      <c r="A11" s="124"/>
      <c r="B11" s="125"/>
      <c r="C11" s="331" t="s">
        <v>888</v>
      </c>
      <c r="D11" s="178"/>
      <c r="E11" s="362"/>
    </row>
    <row r="12" spans="1:17" ht="15" customHeight="1" x14ac:dyDescent="0.25">
      <c r="A12" s="6"/>
      <c r="B12" s="6"/>
      <c r="C12" s="21"/>
      <c r="E12" s="22"/>
    </row>
    <row r="13" spans="1:17" ht="15" customHeight="1" x14ac:dyDescent="0.25">
      <c r="B13" s="497" t="s">
        <v>889</v>
      </c>
      <c r="C13" s="179"/>
      <c r="D13" s="179"/>
      <c r="E13" s="180"/>
    </row>
    <row r="14" spans="1:17" ht="15" customHeight="1" x14ac:dyDescent="0.25">
      <c r="B14" s="497"/>
      <c r="C14" s="179"/>
      <c r="D14" s="179"/>
      <c r="E14" s="180"/>
    </row>
    <row r="15" spans="1:17" ht="15" customHeight="1" x14ac:dyDescent="0.25">
      <c r="B15" s="497"/>
      <c r="C15" s="179"/>
      <c r="D15" s="179"/>
      <c r="E15" s="180"/>
    </row>
    <row r="16" spans="1:17" ht="15" customHeight="1" x14ac:dyDescent="0.25">
      <c r="B16" s="497"/>
      <c r="C16" s="179"/>
      <c r="D16" s="179"/>
      <c r="E16" s="180"/>
    </row>
    <row r="17" spans="1:6" ht="15" customHeight="1" x14ac:dyDescent="0.25">
      <c r="B17" s="497"/>
      <c r="C17" s="179"/>
      <c r="D17" s="179"/>
      <c r="E17" s="180"/>
    </row>
    <row r="18" spans="1:6" ht="15" customHeight="1" x14ac:dyDescent="0.25">
      <c r="B18" s="497"/>
      <c r="C18" s="179"/>
      <c r="D18" s="179"/>
      <c r="E18" s="180"/>
    </row>
    <row r="19" spans="1:6" ht="15" customHeight="1" x14ac:dyDescent="0.25">
      <c r="B19" s="497"/>
      <c r="C19" s="179"/>
      <c r="D19" s="179"/>
      <c r="E19" s="180"/>
    </row>
    <row r="20" spans="1:6" ht="15" customHeight="1" x14ac:dyDescent="0.25">
      <c r="B20" s="497"/>
      <c r="C20" s="179"/>
      <c r="D20" s="179"/>
      <c r="E20" s="180"/>
    </row>
    <row r="21" spans="1:6" ht="15" customHeight="1" x14ac:dyDescent="0.25">
      <c r="B21" s="497"/>
      <c r="C21" s="179"/>
      <c r="D21" s="179"/>
      <c r="E21" s="180"/>
    </row>
    <row r="22" spans="1:6" ht="15" customHeight="1" x14ac:dyDescent="0.25">
      <c r="B22" s="497"/>
      <c r="C22" s="179"/>
      <c r="D22" s="179"/>
      <c r="E22" s="180"/>
    </row>
    <row r="23" spans="1:6" ht="15" customHeight="1" x14ac:dyDescent="0.25">
      <c r="B23" s="497"/>
      <c r="C23" s="179"/>
      <c r="D23" s="541"/>
      <c r="E23" s="541"/>
    </row>
    <row r="24" spans="1:6" ht="15" customHeight="1" thickBot="1" x14ac:dyDescent="0.3">
      <c r="A24" s="95"/>
      <c r="B24" s="95"/>
      <c r="C24" s="83"/>
      <c r="D24" s="83"/>
      <c r="E24" s="83"/>
    </row>
    <row r="25" spans="1:6" ht="15" customHeight="1" x14ac:dyDescent="0.25">
      <c r="A25" s="8"/>
      <c r="B25" s="8"/>
    </row>
    <row r="26" spans="1:6" x14ac:dyDescent="0.25">
      <c r="A26" s="673" t="s">
        <v>826</v>
      </c>
      <c r="B26" s="673"/>
      <c r="C26" s="348"/>
      <c r="D26" s="348"/>
      <c r="E26" s="348"/>
      <c r="F26" s="348"/>
    </row>
    <row r="27" spans="1:6" x14ac:dyDescent="0.25">
      <c r="A27" s="352"/>
      <c r="B27" s="352"/>
    </row>
    <row r="28" spans="1:6" ht="69.75" customHeight="1" x14ac:dyDescent="0.25">
      <c r="A28" s="677" t="s">
        <v>171</v>
      </c>
      <c r="B28" s="677"/>
      <c r="C28" s="677"/>
      <c r="D28" s="677"/>
      <c r="E28" s="677"/>
      <c r="F28" s="351"/>
    </row>
    <row r="29" spans="1:6" ht="12.75" customHeight="1" x14ac:dyDescent="0.25">
      <c r="A29" s="352"/>
      <c r="B29" s="352"/>
    </row>
    <row r="30" spans="1:6" x14ac:dyDescent="0.25">
      <c r="A30" s="674" t="s">
        <v>93</v>
      </c>
      <c r="B30" s="674"/>
      <c r="C30" s="674"/>
      <c r="D30" s="674"/>
      <c r="E30" s="674"/>
      <c r="F30" s="349"/>
    </row>
    <row r="31" spans="1:6" ht="30.75" customHeight="1" x14ac:dyDescent="0.25">
      <c r="A31" s="673" t="s">
        <v>94</v>
      </c>
      <c r="B31" s="673"/>
      <c r="C31" s="673"/>
      <c r="D31" s="673"/>
      <c r="E31" s="673"/>
      <c r="F31" s="348"/>
    </row>
    <row r="32" spans="1:6" ht="32.25" customHeight="1" x14ac:dyDescent="0.25"/>
    <row r="33" ht="32.25" customHeight="1" x14ac:dyDescent="0.25"/>
    <row r="34" ht="29.55" customHeight="1" x14ac:dyDescent="0.25"/>
  </sheetData>
  <mergeCells count="6">
    <mergeCell ref="A31:E31"/>
    <mergeCell ref="A3:C3"/>
    <mergeCell ref="A5:E5"/>
    <mergeCell ref="A26:B26"/>
    <mergeCell ref="A28:E28"/>
    <mergeCell ref="A30:E30"/>
  </mergeCells>
  <conditionalFormatting sqref="B13:B23">
    <cfRule type="duplicateValues" dxfId="18" priority="35"/>
  </conditionalFormatting>
  <conditionalFormatting sqref="A13:A23">
    <cfRule type="duplicateValues" dxfId="17" priority="37"/>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6"/>
  <sheetViews>
    <sheetView zoomScaleNormal="100" workbookViewId="0"/>
  </sheetViews>
  <sheetFormatPr defaultColWidth="9" defaultRowHeight="13.2" x14ac:dyDescent="0.25"/>
  <cols>
    <col min="1" max="1" width="13.796875" style="1" customWidth="1"/>
    <col min="2" max="2" width="17.19921875" style="1" customWidth="1"/>
    <col min="3" max="4" width="9.796875" style="1" customWidth="1"/>
    <col min="5" max="5" width="10.09765625" style="1" customWidth="1"/>
    <col min="6" max="12" width="9.796875" style="1" customWidth="1"/>
    <col min="13" max="13" width="12.09765625" style="1" customWidth="1"/>
    <col min="14" max="14" width="4.59765625" style="1" customWidth="1"/>
    <col min="15" max="24" width="10" style="1" customWidth="1"/>
    <col min="25" max="25" width="12.09765625" style="1" customWidth="1"/>
    <col min="26" max="201" width="9" style="1"/>
    <col min="202" max="202" width="1.19921875" style="1" customWidth="1"/>
    <col min="203" max="203" width="70.59765625" style="1" customWidth="1"/>
    <col min="204" max="208" width="10.59765625" style="1" customWidth="1"/>
    <col min="209" max="457" width="9" style="1"/>
    <col min="458" max="458" width="1.19921875" style="1" customWidth="1"/>
    <col min="459" max="459" width="70.59765625" style="1" customWidth="1"/>
    <col min="460" max="464" width="10.59765625" style="1" customWidth="1"/>
    <col min="465" max="713" width="9" style="1"/>
    <col min="714" max="714" width="1.19921875" style="1" customWidth="1"/>
    <col min="715" max="715" width="70.59765625" style="1" customWidth="1"/>
    <col min="716" max="720" width="10.59765625" style="1" customWidth="1"/>
    <col min="721" max="969" width="9" style="1"/>
    <col min="970" max="970" width="1.19921875" style="1" customWidth="1"/>
    <col min="971" max="971" width="70.59765625" style="1" customWidth="1"/>
    <col min="972" max="976" width="10.59765625" style="1" customWidth="1"/>
    <col min="977" max="1225" width="9" style="1"/>
    <col min="1226" max="1226" width="1.19921875" style="1" customWidth="1"/>
    <col min="1227" max="1227" width="70.59765625" style="1" customWidth="1"/>
    <col min="1228" max="1232" width="10.59765625" style="1" customWidth="1"/>
    <col min="1233" max="1481" width="9" style="1"/>
    <col min="1482" max="1482" width="1.19921875" style="1" customWidth="1"/>
    <col min="1483" max="1483" width="70.59765625" style="1" customWidth="1"/>
    <col min="1484" max="1488" width="10.59765625" style="1" customWidth="1"/>
    <col min="1489" max="1737" width="9" style="1"/>
    <col min="1738" max="1738" width="1.19921875" style="1" customWidth="1"/>
    <col min="1739" max="1739" width="70.59765625" style="1" customWidth="1"/>
    <col min="1740" max="1744" width="10.59765625" style="1" customWidth="1"/>
    <col min="1745" max="1993" width="9" style="1"/>
    <col min="1994" max="1994" width="1.19921875" style="1" customWidth="1"/>
    <col min="1995" max="1995" width="70.59765625" style="1" customWidth="1"/>
    <col min="1996" max="2000" width="10.59765625" style="1" customWidth="1"/>
    <col min="2001" max="2249" width="9" style="1"/>
    <col min="2250" max="2250" width="1.19921875" style="1" customWidth="1"/>
    <col min="2251" max="2251" width="70.59765625" style="1" customWidth="1"/>
    <col min="2252" max="2256" width="10.59765625" style="1" customWidth="1"/>
    <col min="2257" max="2505" width="9" style="1"/>
    <col min="2506" max="2506" width="1.19921875" style="1" customWidth="1"/>
    <col min="2507" max="2507" width="70.59765625" style="1" customWidth="1"/>
    <col min="2508" max="2512" width="10.59765625" style="1" customWidth="1"/>
    <col min="2513" max="2761" width="9" style="1"/>
    <col min="2762" max="2762" width="1.19921875" style="1" customWidth="1"/>
    <col min="2763" max="2763" width="70.59765625" style="1" customWidth="1"/>
    <col min="2764" max="2768" width="10.59765625" style="1" customWidth="1"/>
    <col min="2769" max="3017" width="9" style="1"/>
    <col min="3018" max="3018" width="1.19921875" style="1" customWidth="1"/>
    <col min="3019" max="3019" width="70.59765625" style="1" customWidth="1"/>
    <col min="3020" max="3024" width="10.59765625" style="1" customWidth="1"/>
    <col min="3025" max="3273" width="9" style="1"/>
    <col min="3274" max="3274" width="1.19921875" style="1" customWidth="1"/>
    <col min="3275" max="3275" width="70.59765625" style="1" customWidth="1"/>
    <col min="3276" max="3280" width="10.59765625" style="1" customWidth="1"/>
    <col min="3281" max="3529" width="9" style="1"/>
    <col min="3530" max="3530" width="1.19921875" style="1" customWidth="1"/>
    <col min="3531" max="3531" width="70.59765625" style="1" customWidth="1"/>
    <col min="3532" max="3536" width="10.59765625" style="1" customWidth="1"/>
    <col min="3537" max="3785" width="9" style="1"/>
    <col min="3786" max="3786" width="1.19921875" style="1" customWidth="1"/>
    <col min="3787" max="3787" width="70.59765625" style="1" customWidth="1"/>
    <col min="3788" max="3792" width="10.59765625" style="1" customWidth="1"/>
    <col min="3793" max="4041" width="9" style="1"/>
    <col min="4042" max="4042" width="1.19921875" style="1" customWidth="1"/>
    <col min="4043" max="4043" width="70.59765625" style="1" customWidth="1"/>
    <col min="4044" max="4048" width="10.59765625" style="1" customWidth="1"/>
    <col min="4049" max="4297" width="9" style="1"/>
    <col min="4298" max="4298" width="1.19921875" style="1" customWidth="1"/>
    <col min="4299" max="4299" width="70.59765625" style="1" customWidth="1"/>
    <col min="4300" max="4304" width="10.59765625" style="1" customWidth="1"/>
    <col min="4305" max="4553" width="9" style="1"/>
    <col min="4554" max="4554" width="1.19921875" style="1" customWidth="1"/>
    <col min="4555" max="4555" width="70.59765625" style="1" customWidth="1"/>
    <col min="4556" max="4560" width="10.59765625" style="1" customWidth="1"/>
    <col min="4561" max="4809" width="9" style="1"/>
    <col min="4810" max="4810" width="1.19921875" style="1" customWidth="1"/>
    <col min="4811" max="4811" width="70.59765625" style="1" customWidth="1"/>
    <col min="4812" max="4816" width="10.59765625" style="1" customWidth="1"/>
    <col min="4817" max="5065" width="9" style="1"/>
    <col min="5066" max="5066" width="1.19921875" style="1" customWidth="1"/>
    <col min="5067" max="5067" width="70.59765625" style="1" customWidth="1"/>
    <col min="5068" max="5072" width="10.59765625" style="1" customWidth="1"/>
    <col min="5073" max="5321" width="9" style="1"/>
    <col min="5322" max="5322" width="1.19921875" style="1" customWidth="1"/>
    <col min="5323" max="5323" width="70.59765625" style="1" customWidth="1"/>
    <col min="5324" max="5328" width="10.59765625" style="1" customWidth="1"/>
    <col min="5329" max="5577" width="9" style="1"/>
    <col min="5578" max="5578" width="1.19921875" style="1" customWidth="1"/>
    <col min="5579" max="5579" width="70.59765625" style="1" customWidth="1"/>
    <col min="5580" max="5584" width="10.59765625" style="1" customWidth="1"/>
    <col min="5585" max="5833" width="9" style="1"/>
    <col min="5834" max="5834" width="1.19921875" style="1" customWidth="1"/>
    <col min="5835" max="5835" width="70.59765625" style="1" customWidth="1"/>
    <col min="5836" max="5840" width="10.59765625" style="1" customWidth="1"/>
    <col min="5841" max="6089" width="9" style="1"/>
    <col min="6090" max="6090" width="1.19921875" style="1" customWidth="1"/>
    <col min="6091" max="6091" width="70.59765625" style="1" customWidth="1"/>
    <col min="6092" max="6096" width="10.59765625" style="1" customWidth="1"/>
    <col min="6097" max="6345" width="9" style="1"/>
    <col min="6346" max="6346" width="1.19921875" style="1" customWidth="1"/>
    <col min="6347" max="6347" width="70.59765625" style="1" customWidth="1"/>
    <col min="6348" max="6352" width="10.59765625" style="1" customWidth="1"/>
    <col min="6353" max="6601" width="9" style="1"/>
    <col min="6602" max="6602" width="1.19921875" style="1" customWidth="1"/>
    <col min="6603" max="6603" width="70.59765625" style="1" customWidth="1"/>
    <col min="6604" max="6608" width="10.59765625" style="1" customWidth="1"/>
    <col min="6609" max="6857" width="9" style="1"/>
    <col min="6858" max="6858" width="1.19921875" style="1" customWidth="1"/>
    <col min="6859" max="6859" width="70.59765625" style="1" customWidth="1"/>
    <col min="6860" max="6864" width="10.59765625" style="1" customWidth="1"/>
    <col min="6865" max="7113" width="9" style="1"/>
    <col min="7114" max="7114" width="1.19921875" style="1" customWidth="1"/>
    <col min="7115" max="7115" width="70.59765625" style="1" customWidth="1"/>
    <col min="7116" max="7120" width="10.59765625" style="1" customWidth="1"/>
    <col min="7121" max="7369" width="9" style="1"/>
    <col min="7370" max="7370" width="1.19921875" style="1" customWidth="1"/>
    <col min="7371" max="7371" width="70.59765625" style="1" customWidth="1"/>
    <col min="7372" max="7376" width="10.59765625" style="1" customWidth="1"/>
    <col min="7377" max="7625" width="9" style="1"/>
    <col min="7626" max="7626" width="1.19921875" style="1" customWidth="1"/>
    <col min="7627" max="7627" width="70.59765625" style="1" customWidth="1"/>
    <col min="7628" max="7632" width="10.59765625" style="1" customWidth="1"/>
    <col min="7633" max="7881" width="9" style="1"/>
    <col min="7882" max="7882" width="1.19921875" style="1" customWidth="1"/>
    <col min="7883" max="7883" width="70.59765625" style="1" customWidth="1"/>
    <col min="7884" max="7888" width="10.59765625" style="1" customWidth="1"/>
    <col min="7889" max="8137" width="9" style="1"/>
    <col min="8138" max="8138" width="1.19921875" style="1" customWidth="1"/>
    <col min="8139" max="8139" width="70.59765625" style="1" customWidth="1"/>
    <col min="8140" max="8144" width="10.59765625" style="1" customWidth="1"/>
    <col min="8145" max="8393" width="9" style="1"/>
    <col min="8394" max="8394" width="1.19921875" style="1" customWidth="1"/>
    <col min="8395" max="8395" width="70.59765625" style="1" customWidth="1"/>
    <col min="8396" max="8400" width="10.59765625" style="1" customWidth="1"/>
    <col min="8401" max="8649" width="9" style="1"/>
    <col min="8650" max="8650" width="1.19921875" style="1" customWidth="1"/>
    <col min="8651" max="8651" width="70.59765625" style="1" customWidth="1"/>
    <col min="8652" max="8656" width="10.59765625" style="1" customWidth="1"/>
    <col min="8657" max="8905" width="9" style="1"/>
    <col min="8906" max="8906" width="1.19921875" style="1" customWidth="1"/>
    <col min="8907" max="8907" width="70.59765625" style="1" customWidth="1"/>
    <col min="8908" max="8912" width="10.59765625" style="1" customWidth="1"/>
    <col min="8913" max="9161" width="9" style="1"/>
    <col min="9162" max="9162" width="1.19921875" style="1" customWidth="1"/>
    <col min="9163" max="9163" width="70.59765625" style="1" customWidth="1"/>
    <col min="9164" max="9168" width="10.59765625" style="1" customWidth="1"/>
    <col min="9169" max="9417" width="9" style="1"/>
    <col min="9418" max="9418" width="1.19921875" style="1" customWidth="1"/>
    <col min="9419" max="9419" width="70.59765625" style="1" customWidth="1"/>
    <col min="9420" max="9424" width="10.59765625" style="1" customWidth="1"/>
    <col min="9425" max="9673" width="9" style="1"/>
    <col min="9674" max="9674" width="1.19921875" style="1" customWidth="1"/>
    <col min="9675" max="9675" width="70.59765625" style="1" customWidth="1"/>
    <col min="9676" max="9680" width="10.59765625" style="1" customWidth="1"/>
    <col min="9681" max="9929" width="9" style="1"/>
    <col min="9930" max="9930" width="1.19921875" style="1" customWidth="1"/>
    <col min="9931" max="9931" width="70.59765625" style="1" customWidth="1"/>
    <col min="9932" max="9936" width="10.59765625" style="1" customWidth="1"/>
    <col min="9937" max="10185" width="9" style="1"/>
    <col min="10186" max="10186" width="1.19921875" style="1" customWidth="1"/>
    <col min="10187" max="10187" width="70.59765625" style="1" customWidth="1"/>
    <col min="10188" max="10192" width="10.59765625" style="1" customWidth="1"/>
    <col min="10193" max="10441" width="9" style="1"/>
    <col min="10442" max="10442" width="1.19921875" style="1" customWidth="1"/>
    <col min="10443" max="10443" width="70.59765625" style="1" customWidth="1"/>
    <col min="10444" max="10448" width="10.59765625" style="1" customWidth="1"/>
    <col min="10449" max="10697" width="9" style="1"/>
    <col min="10698" max="10698" width="1.19921875" style="1" customWidth="1"/>
    <col min="10699" max="10699" width="70.59765625" style="1" customWidth="1"/>
    <col min="10700" max="10704" width="10.59765625" style="1" customWidth="1"/>
    <col min="10705" max="10953" width="9" style="1"/>
    <col min="10954" max="10954" width="1.19921875" style="1" customWidth="1"/>
    <col min="10955" max="10955" width="70.59765625" style="1" customWidth="1"/>
    <col min="10956" max="10960" width="10.59765625" style="1" customWidth="1"/>
    <col min="10961" max="11209" width="9" style="1"/>
    <col min="11210" max="11210" width="1.19921875" style="1" customWidth="1"/>
    <col min="11211" max="11211" width="70.59765625" style="1" customWidth="1"/>
    <col min="11212" max="11216" width="10.59765625" style="1" customWidth="1"/>
    <col min="11217" max="11465" width="9" style="1"/>
    <col min="11466" max="11466" width="1.19921875" style="1" customWidth="1"/>
    <col min="11467" max="11467" width="70.59765625" style="1" customWidth="1"/>
    <col min="11468" max="11472" width="10.59765625" style="1" customWidth="1"/>
    <col min="11473" max="11721" width="9" style="1"/>
    <col min="11722" max="11722" width="1.19921875" style="1" customWidth="1"/>
    <col min="11723" max="11723" width="70.59765625" style="1" customWidth="1"/>
    <col min="11724" max="11728" width="10.59765625" style="1" customWidth="1"/>
    <col min="11729" max="11977" width="9" style="1"/>
    <col min="11978" max="11978" width="1.19921875" style="1" customWidth="1"/>
    <col min="11979" max="11979" width="70.59765625" style="1" customWidth="1"/>
    <col min="11980" max="11984" width="10.59765625" style="1" customWidth="1"/>
    <col min="11985" max="12233" width="9" style="1"/>
    <col min="12234" max="12234" width="1.19921875" style="1" customWidth="1"/>
    <col min="12235" max="12235" width="70.59765625" style="1" customWidth="1"/>
    <col min="12236" max="12240" width="10.59765625" style="1" customWidth="1"/>
    <col min="12241" max="12489" width="9" style="1"/>
    <col min="12490" max="12490" width="1.19921875" style="1" customWidth="1"/>
    <col min="12491" max="12491" width="70.59765625" style="1" customWidth="1"/>
    <col min="12492" max="12496" width="10.59765625" style="1" customWidth="1"/>
    <col min="12497" max="12745" width="9" style="1"/>
    <col min="12746" max="12746" width="1.19921875" style="1" customWidth="1"/>
    <col min="12747" max="12747" width="70.59765625" style="1" customWidth="1"/>
    <col min="12748" max="12752" width="10.59765625" style="1" customWidth="1"/>
    <col min="12753" max="13001" width="9" style="1"/>
    <col min="13002" max="13002" width="1.19921875" style="1" customWidth="1"/>
    <col min="13003" max="13003" width="70.59765625" style="1" customWidth="1"/>
    <col min="13004" max="13008" width="10.59765625" style="1" customWidth="1"/>
    <col min="13009" max="13257" width="9" style="1"/>
    <col min="13258" max="13258" width="1.19921875" style="1" customWidth="1"/>
    <col min="13259" max="13259" width="70.59765625" style="1" customWidth="1"/>
    <col min="13260" max="13264" width="10.59765625" style="1" customWidth="1"/>
    <col min="13265" max="13513" width="9" style="1"/>
    <col min="13514" max="13514" width="1.19921875" style="1" customWidth="1"/>
    <col min="13515" max="13515" width="70.59765625" style="1" customWidth="1"/>
    <col min="13516" max="13520" width="10.59765625" style="1" customWidth="1"/>
    <col min="13521" max="13769" width="9" style="1"/>
    <col min="13770" max="13770" width="1.19921875" style="1" customWidth="1"/>
    <col min="13771" max="13771" width="70.59765625" style="1" customWidth="1"/>
    <col min="13772" max="13776" width="10.59765625" style="1" customWidth="1"/>
    <col min="13777" max="14025" width="9" style="1"/>
    <col min="14026" max="14026" width="1.19921875" style="1" customWidth="1"/>
    <col min="14027" max="14027" width="70.59765625" style="1" customWidth="1"/>
    <col min="14028" max="14032" width="10.59765625" style="1" customWidth="1"/>
    <col min="14033" max="14281" width="9" style="1"/>
    <col min="14282" max="14282" width="1.19921875" style="1" customWidth="1"/>
    <col min="14283" max="14283" width="70.59765625" style="1" customWidth="1"/>
    <col min="14284" max="14288" width="10.59765625" style="1" customWidth="1"/>
    <col min="14289" max="14537" width="9" style="1"/>
    <col min="14538" max="14538" width="1.19921875" style="1" customWidth="1"/>
    <col min="14539" max="14539" width="70.59765625" style="1" customWidth="1"/>
    <col min="14540" max="14544" width="10.59765625" style="1" customWidth="1"/>
    <col min="14545" max="14793" width="9" style="1"/>
    <col min="14794" max="14794" width="1.19921875" style="1" customWidth="1"/>
    <col min="14795" max="14795" width="70.59765625" style="1" customWidth="1"/>
    <col min="14796" max="14800" width="10.59765625" style="1" customWidth="1"/>
    <col min="14801" max="15049" width="9" style="1"/>
    <col min="15050" max="15050" width="1.19921875" style="1" customWidth="1"/>
    <col min="15051" max="15051" width="70.59765625" style="1" customWidth="1"/>
    <col min="15052" max="15056" width="10.59765625" style="1" customWidth="1"/>
    <col min="15057" max="15305" width="9" style="1"/>
    <col min="15306" max="15306" width="1.19921875" style="1" customWidth="1"/>
    <col min="15307" max="15307" width="70.59765625" style="1" customWidth="1"/>
    <col min="15308" max="15312" width="10.59765625" style="1" customWidth="1"/>
    <col min="15313" max="15561" width="9" style="1"/>
    <col min="15562" max="15562" width="1.19921875" style="1" customWidth="1"/>
    <col min="15563" max="15563" width="70.59765625" style="1" customWidth="1"/>
    <col min="15564" max="15568" width="10.59765625" style="1" customWidth="1"/>
    <col min="15569" max="16384" width="9" style="1"/>
  </cols>
  <sheetData>
    <row r="1" spans="1:25" ht="13.8" x14ac:dyDescent="0.25">
      <c r="A1" s="11" t="s">
        <v>16</v>
      </c>
      <c r="B1" s="61"/>
      <c r="C1" s="61"/>
      <c r="D1" s="61"/>
      <c r="E1" s="61"/>
      <c r="F1" s="61"/>
    </row>
    <row r="2" spans="1:25" x14ac:dyDescent="0.25">
      <c r="A2" s="61"/>
      <c r="B2" s="61"/>
      <c r="C2" s="61"/>
      <c r="D2" s="61"/>
      <c r="E2" s="61"/>
      <c r="F2" s="61"/>
    </row>
    <row r="3" spans="1:25" ht="30" customHeight="1" x14ac:dyDescent="0.25">
      <c r="A3" s="679" t="s">
        <v>834</v>
      </c>
      <c r="B3" s="679"/>
      <c r="C3" s="679"/>
      <c r="D3" s="679"/>
      <c r="E3" s="679"/>
      <c r="F3" s="679"/>
      <c r="G3" s="679"/>
    </row>
    <row r="4" spans="1:25" ht="16.5" customHeight="1" x14ac:dyDescent="0.25">
      <c r="A4" s="11"/>
      <c r="B4" s="11"/>
      <c r="R4" s="45"/>
    </row>
    <row r="5" spans="1:25" ht="83.25" customHeight="1" x14ac:dyDescent="0.25">
      <c r="A5" s="673" t="s">
        <v>955</v>
      </c>
      <c r="B5" s="673"/>
      <c r="C5" s="673"/>
      <c r="D5" s="673"/>
      <c r="E5" s="673"/>
      <c r="F5" s="673"/>
      <c r="G5" s="352"/>
    </row>
    <row r="6" spans="1:25" ht="13.8" thickBot="1" x14ac:dyDescent="0.3">
      <c r="A6" s="83"/>
      <c r="B6" s="83"/>
      <c r="C6" s="83"/>
      <c r="D6" s="83"/>
      <c r="E6" s="83"/>
      <c r="F6" s="83"/>
      <c r="G6" s="83"/>
      <c r="H6" s="83"/>
      <c r="I6" s="83"/>
      <c r="J6" s="83"/>
      <c r="K6" s="83"/>
      <c r="L6" s="83"/>
      <c r="M6" s="83"/>
      <c r="N6" s="83"/>
      <c r="O6" s="83"/>
      <c r="P6" s="83"/>
      <c r="Q6" s="83"/>
      <c r="R6" s="83"/>
      <c r="S6" s="83"/>
      <c r="T6" s="83"/>
      <c r="U6" s="83"/>
      <c r="V6" s="83"/>
      <c r="W6" s="83"/>
      <c r="X6" s="83"/>
      <c r="Y6" s="83"/>
    </row>
    <row r="8" spans="1:25" s="62" customFormat="1" ht="40.200000000000003" customHeight="1" x14ac:dyDescent="0.25">
      <c r="A8" s="352"/>
      <c r="B8" s="365"/>
      <c r="C8" s="372" t="s">
        <v>160</v>
      </c>
      <c r="D8" s="372" t="s">
        <v>161</v>
      </c>
      <c r="E8" s="372" t="s">
        <v>162</v>
      </c>
      <c r="F8" s="372" t="s">
        <v>163</v>
      </c>
      <c r="G8" s="372" t="s">
        <v>164</v>
      </c>
      <c r="H8" s="372" t="s">
        <v>165</v>
      </c>
      <c r="I8" s="372" t="s">
        <v>166</v>
      </c>
      <c r="J8" s="372" t="s">
        <v>167</v>
      </c>
      <c r="K8" s="372" t="s">
        <v>168</v>
      </c>
      <c r="L8" s="372" t="s">
        <v>169</v>
      </c>
      <c r="M8" s="372" t="s">
        <v>170</v>
      </c>
      <c r="O8" s="372" t="s">
        <v>1005</v>
      </c>
      <c r="P8" s="372" t="s">
        <v>1006</v>
      </c>
      <c r="Q8" s="372" t="s">
        <v>1007</v>
      </c>
      <c r="R8" s="372" t="s">
        <v>1008</v>
      </c>
      <c r="S8" s="372" t="s">
        <v>1009</v>
      </c>
      <c r="T8" s="372" t="s">
        <v>1010</v>
      </c>
      <c r="U8" s="372" t="s">
        <v>1011</v>
      </c>
      <c r="V8" s="372" t="s">
        <v>1012</v>
      </c>
      <c r="W8" s="372" t="s">
        <v>1013</v>
      </c>
      <c r="X8" s="372" t="s">
        <v>1014</v>
      </c>
      <c r="Y8" s="372" t="s">
        <v>1015</v>
      </c>
    </row>
    <row r="9" spans="1:25" ht="13.8" thickBot="1" x14ac:dyDescent="0.3">
      <c r="A9" s="82"/>
      <c r="B9" s="368"/>
      <c r="C9" s="369"/>
      <c r="D9" s="370"/>
      <c r="E9" s="369"/>
      <c r="F9" s="369"/>
      <c r="G9" s="83"/>
      <c r="H9" s="83"/>
      <c r="I9" s="83"/>
      <c r="J9" s="83"/>
      <c r="K9" s="83"/>
      <c r="L9" s="83"/>
      <c r="M9" s="83"/>
      <c r="N9" s="83"/>
      <c r="O9" s="369"/>
      <c r="P9" s="370"/>
      <c r="Q9" s="369"/>
      <c r="R9" s="369"/>
      <c r="S9" s="83"/>
      <c r="T9" s="83"/>
      <c r="U9" s="83"/>
      <c r="V9" s="83"/>
      <c r="W9" s="83"/>
      <c r="X9" s="83"/>
      <c r="Y9" s="83"/>
    </row>
    <row r="10" spans="1:25" x14ac:dyDescent="0.25">
      <c r="A10" s="8" t="s">
        <v>116</v>
      </c>
      <c r="B10" s="365"/>
      <c r="C10" s="366"/>
      <c r="D10" s="367"/>
      <c r="E10" s="366"/>
      <c r="F10" s="366"/>
    </row>
    <row r="11" spans="1:25" s="37" customFormat="1" x14ac:dyDescent="0.25">
      <c r="A11" s="120" t="s">
        <v>117</v>
      </c>
      <c r="B11" s="365"/>
      <c r="C11" s="496" t="s">
        <v>890</v>
      </c>
      <c r="D11" s="131"/>
      <c r="E11" s="131"/>
      <c r="F11" s="131"/>
      <c r="G11" s="131"/>
      <c r="H11" s="131"/>
      <c r="I11" s="131"/>
      <c r="J11" s="131"/>
      <c r="K11" s="131"/>
      <c r="L11" s="131"/>
      <c r="M11" s="131"/>
      <c r="O11" s="564" t="s">
        <v>895</v>
      </c>
      <c r="P11" s="565"/>
      <c r="Q11" s="565"/>
      <c r="R11" s="565"/>
      <c r="S11" s="565"/>
      <c r="T11" s="565"/>
      <c r="U11" s="565"/>
      <c r="V11" s="565"/>
      <c r="W11" s="565"/>
      <c r="X11" s="565"/>
      <c r="Y11" s="565"/>
    </row>
    <row r="12" spans="1:25" x14ac:dyDescent="0.25">
      <c r="A12" s="121" t="s">
        <v>118</v>
      </c>
      <c r="B12" s="365"/>
      <c r="C12" s="273"/>
      <c r="D12" s="273"/>
      <c r="E12" s="273"/>
      <c r="F12" s="273"/>
      <c r="G12" s="273"/>
      <c r="H12" s="273"/>
      <c r="I12" s="273"/>
      <c r="J12" s="273"/>
      <c r="K12" s="273"/>
      <c r="L12" s="273"/>
      <c r="M12" s="273"/>
      <c r="O12" s="566"/>
      <c r="P12" s="356"/>
      <c r="Q12" s="356"/>
      <c r="R12" s="356"/>
      <c r="S12" s="356"/>
      <c r="T12" s="356"/>
      <c r="U12" s="356"/>
      <c r="V12" s="356"/>
      <c r="W12" s="356"/>
      <c r="X12" s="356"/>
      <c r="Y12" s="356"/>
    </row>
    <row r="13" spans="1:25" x14ac:dyDescent="0.25">
      <c r="A13" s="121" t="s">
        <v>119</v>
      </c>
      <c r="B13" s="365"/>
      <c r="C13" s="273"/>
      <c r="D13" s="273"/>
      <c r="E13" s="273"/>
      <c r="F13" s="273"/>
      <c r="G13" s="273"/>
      <c r="H13" s="273"/>
      <c r="I13" s="273"/>
      <c r="J13" s="273"/>
      <c r="K13" s="273"/>
      <c r="L13" s="273"/>
      <c r="M13" s="273"/>
      <c r="O13" s="566"/>
      <c r="P13" s="356"/>
      <c r="Q13" s="356"/>
      <c r="R13" s="356"/>
      <c r="S13" s="356"/>
      <c r="T13" s="356"/>
      <c r="U13" s="356"/>
      <c r="V13" s="356"/>
      <c r="W13" s="356"/>
      <c r="X13" s="356"/>
      <c r="Y13" s="356"/>
    </row>
    <row r="14" spans="1:25" x14ac:dyDescent="0.25">
      <c r="A14" s="121" t="s">
        <v>120</v>
      </c>
      <c r="B14" s="365"/>
      <c r="C14" s="273"/>
      <c r="D14" s="273"/>
      <c r="E14" s="273"/>
      <c r="F14" s="273"/>
      <c r="G14" s="273"/>
      <c r="H14" s="273"/>
      <c r="I14" s="273"/>
      <c r="J14" s="273"/>
      <c r="K14" s="273"/>
      <c r="L14" s="273"/>
      <c r="M14" s="273"/>
      <c r="O14" s="566"/>
      <c r="P14" s="356"/>
      <c r="Q14" s="356"/>
      <c r="R14" s="356"/>
      <c r="S14" s="356"/>
      <c r="T14" s="356"/>
      <c r="U14" s="356"/>
      <c r="V14" s="356"/>
      <c r="W14" s="356"/>
      <c r="X14" s="356"/>
      <c r="Y14" s="356"/>
    </row>
    <row r="15" spans="1:25" x14ac:dyDescent="0.25">
      <c r="A15" s="121" t="s">
        <v>121</v>
      </c>
      <c r="B15" s="352"/>
      <c r="C15" s="273" t="s">
        <v>75</v>
      </c>
      <c r="D15" s="273" t="s">
        <v>75</v>
      </c>
      <c r="E15" s="273" t="s">
        <v>75</v>
      </c>
      <c r="F15" s="273" t="s">
        <v>75</v>
      </c>
      <c r="G15" s="273" t="s">
        <v>75</v>
      </c>
      <c r="H15" s="273" t="s">
        <v>75</v>
      </c>
      <c r="I15" s="273" t="s">
        <v>75</v>
      </c>
      <c r="J15" s="273" t="s">
        <v>75</v>
      </c>
      <c r="K15" s="273" t="s">
        <v>75</v>
      </c>
      <c r="L15" s="273" t="s">
        <v>75</v>
      </c>
      <c r="M15" s="595" t="s">
        <v>75</v>
      </c>
      <c r="O15" s="566" t="s">
        <v>75</v>
      </c>
      <c r="P15" s="566" t="s">
        <v>75</v>
      </c>
      <c r="Q15" s="566" t="s">
        <v>75</v>
      </c>
      <c r="R15" s="566" t="s">
        <v>75</v>
      </c>
      <c r="S15" s="566" t="s">
        <v>75</v>
      </c>
      <c r="T15" s="566" t="s">
        <v>75</v>
      </c>
      <c r="U15" s="566" t="s">
        <v>75</v>
      </c>
      <c r="V15" s="566" t="s">
        <v>75</v>
      </c>
      <c r="W15" s="566" t="s">
        <v>75</v>
      </c>
      <c r="X15" s="566" t="s">
        <v>75</v>
      </c>
      <c r="Y15" s="566" t="s">
        <v>75</v>
      </c>
    </row>
    <row r="16" spans="1:25" ht="15" customHeight="1" x14ac:dyDescent="0.25">
      <c r="A16" s="121"/>
      <c r="B16" s="4"/>
      <c r="C16" s="131"/>
      <c r="D16" s="131"/>
      <c r="E16" s="131"/>
      <c r="F16" s="131"/>
      <c r="G16" s="131"/>
      <c r="H16" s="131"/>
      <c r="I16" s="131"/>
      <c r="J16" s="131"/>
      <c r="K16" s="131"/>
      <c r="L16" s="131"/>
      <c r="M16" s="131"/>
      <c r="O16" s="567"/>
      <c r="P16" s="356"/>
      <c r="Q16" s="356"/>
      <c r="R16" s="356"/>
      <c r="S16" s="356"/>
      <c r="T16" s="356"/>
      <c r="U16" s="356"/>
      <c r="V16" s="356"/>
      <c r="W16" s="356"/>
      <c r="X16" s="356"/>
      <c r="Y16" s="356"/>
    </row>
    <row r="17" spans="1:25" s="37" customFormat="1" ht="15" customHeight="1" x14ac:dyDescent="0.25">
      <c r="A17" s="120" t="s">
        <v>122</v>
      </c>
      <c r="B17" s="4"/>
      <c r="C17" s="496" t="s">
        <v>891</v>
      </c>
      <c r="D17" s="131"/>
      <c r="E17" s="131"/>
      <c r="F17" s="131"/>
      <c r="G17" s="131"/>
      <c r="H17" s="131"/>
      <c r="I17" s="131"/>
      <c r="J17" s="131"/>
      <c r="K17" s="131"/>
      <c r="L17" s="131"/>
      <c r="M17" s="131"/>
      <c r="O17" s="564" t="s">
        <v>896</v>
      </c>
      <c r="P17" s="565"/>
      <c r="Q17" s="565"/>
      <c r="R17" s="565"/>
      <c r="S17" s="565"/>
      <c r="T17" s="565"/>
      <c r="U17" s="565"/>
      <c r="V17" s="565"/>
      <c r="W17" s="565"/>
      <c r="X17" s="565"/>
      <c r="Y17" s="565"/>
    </row>
    <row r="18" spans="1:25" ht="15" customHeight="1" x14ac:dyDescent="0.25">
      <c r="A18" s="121" t="s">
        <v>123</v>
      </c>
      <c r="B18" s="125"/>
      <c r="C18" s="273"/>
      <c r="D18" s="273"/>
      <c r="E18" s="273"/>
      <c r="F18" s="273"/>
      <c r="G18" s="273"/>
      <c r="H18" s="273"/>
      <c r="I18" s="273"/>
      <c r="J18" s="273"/>
      <c r="K18" s="273"/>
      <c r="L18" s="273"/>
      <c r="M18" s="273"/>
      <c r="O18" s="566"/>
      <c r="P18" s="356"/>
      <c r="Q18" s="356"/>
      <c r="R18" s="356"/>
      <c r="S18" s="356"/>
      <c r="T18" s="356"/>
      <c r="U18" s="356"/>
      <c r="V18" s="356"/>
      <c r="W18" s="356"/>
      <c r="X18" s="356"/>
      <c r="Y18" s="356"/>
    </row>
    <row r="19" spans="1:25" ht="15" customHeight="1" x14ac:dyDescent="0.25">
      <c r="A19" s="121" t="s">
        <v>124</v>
      </c>
      <c r="B19" s="6"/>
      <c r="C19" s="273"/>
      <c r="D19" s="273"/>
      <c r="E19" s="273"/>
      <c r="F19" s="273"/>
      <c r="G19" s="273"/>
      <c r="H19" s="273"/>
      <c r="I19" s="273"/>
      <c r="J19" s="273"/>
      <c r="K19" s="273"/>
      <c r="L19" s="273"/>
      <c r="M19" s="273"/>
      <c r="O19" s="566"/>
      <c r="P19" s="356"/>
      <c r="Q19" s="356"/>
      <c r="R19" s="356"/>
      <c r="S19" s="356"/>
      <c r="T19" s="356"/>
      <c r="U19" s="356"/>
      <c r="V19" s="356"/>
      <c r="W19" s="356"/>
      <c r="X19" s="356"/>
      <c r="Y19" s="356"/>
    </row>
    <row r="20" spans="1:25" ht="15" customHeight="1" x14ac:dyDescent="0.25">
      <c r="A20" s="121" t="s">
        <v>125</v>
      </c>
      <c r="C20" s="273"/>
      <c r="D20" s="273"/>
      <c r="E20" s="273"/>
      <c r="F20" s="273"/>
      <c r="G20" s="273"/>
      <c r="H20" s="273"/>
      <c r="I20" s="273"/>
      <c r="J20" s="273"/>
      <c r="K20" s="273"/>
      <c r="L20" s="273"/>
      <c r="M20" s="273"/>
      <c r="O20" s="566"/>
      <c r="P20" s="356"/>
      <c r="Q20" s="356"/>
      <c r="R20" s="356"/>
      <c r="S20" s="356"/>
      <c r="T20" s="356"/>
      <c r="U20" s="356"/>
      <c r="V20" s="356"/>
      <c r="W20" s="356"/>
      <c r="X20" s="356"/>
      <c r="Y20" s="356"/>
    </row>
    <row r="21" spans="1:25" ht="15" customHeight="1" x14ac:dyDescent="0.25">
      <c r="A21" s="121" t="s">
        <v>126</v>
      </c>
      <c r="C21" s="273"/>
      <c r="D21" s="273"/>
      <c r="E21" s="273"/>
      <c r="F21" s="273"/>
      <c r="G21" s="273"/>
      <c r="H21" s="273"/>
      <c r="I21" s="273"/>
      <c r="J21" s="273"/>
      <c r="K21" s="273"/>
      <c r="L21" s="273"/>
      <c r="M21" s="273"/>
      <c r="O21" s="566"/>
      <c r="P21" s="356"/>
      <c r="Q21" s="356"/>
      <c r="R21" s="356"/>
      <c r="S21" s="356"/>
      <c r="T21" s="356"/>
      <c r="U21" s="356"/>
      <c r="V21" s="356"/>
      <c r="W21" s="356"/>
      <c r="X21" s="356"/>
      <c r="Y21" s="356"/>
    </row>
    <row r="22" spans="1:25" ht="15" customHeight="1" x14ac:dyDescent="0.25">
      <c r="A22" s="121"/>
      <c r="C22" s="131"/>
      <c r="D22" s="131"/>
      <c r="E22" s="131"/>
      <c r="F22" s="131"/>
      <c r="G22" s="131"/>
      <c r="H22" s="131"/>
      <c r="I22" s="131"/>
      <c r="J22" s="131"/>
      <c r="K22" s="131"/>
      <c r="L22" s="131"/>
      <c r="M22" s="131"/>
      <c r="O22" s="567"/>
      <c r="P22" s="356"/>
      <c r="Q22" s="356"/>
      <c r="R22" s="356"/>
      <c r="S22" s="356"/>
      <c r="T22" s="356"/>
      <c r="U22" s="356"/>
      <c r="V22" s="356"/>
      <c r="W22" s="356"/>
      <c r="X22" s="356"/>
      <c r="Y22" s="356"/>
    </row>
    <row r="23" spans="1:25" s="37" customFormat="1" ht="15" customHeight="1" x14ac:dyDescent="0.25">
      <c r="A23" s="120" t="s">
        <v>127</v>
      </c>
      <c r="C23" s="496" t="s">
        <v>892</v>
      </c>
      <c r="D23" s="131"/>
      <c r="E23" s="131"/>
      <c r="F23" s="131"/>
      <c r="G23" s="131"/>
      <c r="H23" s="131"/>
      <c r="I23" s="131"/>
      <c r="J23" s="131"/>
      <c r="K23" s="131"/>
      <c r="L23" s="131"/>
      <c r="M23" s="131"/>
      <c r="O23" s="564" t="s">
        <v>897</v>
      </c>
      <c r="P23" s="565"/>
      <c r="Q23" s="565"/>
      <c r="R23" s="565"/>
      <c r="S23" s="565"/>
      <c r="T23" s="565"/>
      <c r="U23" s="565"/>
      <c r="V23" s="565"/>
      <c r="W23" s="565"/>
      <c r="X23" s="565"/>
      <c r="Y23" s="565"/>
    </row>
    <row r="24" spans="1:25" ht="15" customHeight="1" x14ac:dyDescent="0.25">
      <c r="A24" s="121" t="s">
        <v>128</v>
      </c>
      <c r="C24" s="273"/>
      <c r="D24" s="273"/>
      <c r="E24" s="273"/>
      <c r="F24" s="273"/>
      <c r="G24" s="273"/>
      <c r="H24" s="273"/>
      <c r="I24" s="273"/>
      <c r="J24" s="273"/>
      <c r="K24" s="273"/>
      <c r="L24" s="273"/>
      <c r="M24" s="273"/>
      <c r="O24" s="566"/>
      <c r="P24" s="356"/>
      <c r="Q24" s="356"/>
      <c r="R24" s="356"/>
      <c r="S24" s="356"/>
      <c r="T24" s="356"/>
      <c r="U24" s="356"/>
      <c r="V24" s="356"/>
      <c r="W24" s="356"/>
      <c r="X24" s="356"/>
      <c r="Y24" s="356"/>
    </row>
    <row r="25" spans="1:25" ht="15" customHeight="1" x14ac:dyDescent="0.25">
      <c r="A25" s="121" t="s">
        <v>129</v>
      </c>
      <c r="C25" s="273"/>
      <c r="D25" s="273"/>
      <c r="E25" s="273"/>
      <c r="F25" s="273"/>
      <c r="G25" s="273"/>
      <c r="H25" s="273"/>
      <c r="I25" s="273"/>
      <c r="J25" s="273"/>
      <c r="K25" s="273"/>
      <c r="L25" s="273"/>
      <c r="M25" s="273"/>
      <c r="O25" s="566"/>
      <c r="P25" s="356"/>
      <c r="Q25" s="356"/>
      <c r="R25" s="356"/>
      <c r="S25" s="356"/>
      <c r="T25" s="356"/>
      <c r="U25" s="356"/>
      <c r="V25" s="356"/>
      <c r="W25" s="356"/>
      <c r="X25" s="356"/>
      <c r="Y25" s="356"/>
    </row>
    <row r="26" spans="1:25" ht="15" customHeight="1" x14ac:dyDescent="0.25">
      <c r="A26" s="121" t="s">
        <v>130</v>
      </c>
      <c r="C26" s="273"/>
      <c r="D26" s="273"/>
      <c r="E26" s="273"/>
      <c r="F26" s="273"/>
      <c r="G26" s="273"/>
      <c r="H26" s="273"/>
      <c r="I26" s="273"/>
      <c r="J26" s="273"/>
      <c r="K26" s="273"/>
      <c r="L26" s="273"/>
      <c r="M26" s="273"/>
      <c r="O26" s="566"/>
      <c r="P26" s="356"/>
      <c r="Q26" s="356"/>
      <c r="R26" s="356"/>
      <c r="S26" s="356"/>
      <c r="T26" s="356"/>
      <c r="U26" s="356"/>
      <c r="V26" s="356"/>
      <c r="W26" s="356"/>
      <c r="X26" s="356"/>
      <c r="Y26" s="356"/>
    </row>
    <row r="27" spans="1:25" ht="15" customHeight="1" x14ac:dyDescent="0.25">
      <c r="A27" s="121" t="s">
        <v>131</v>
      </c>
      <c r="C27" s="273"/>
      <c r="D27" s="273"/>
      <c r="E27" s="273"/>
      <c r="F27" s="273"/>
      <c r="G27" s="273"/>
      <c r="H27" s="273"/>
      <c r="I27" s="273"/>
      <c r="J27" s="273"/>
      <c r="K27" s="273"/>
      <c r="L27" s="273"/>
      <c r="M27" s="273"/>
      <c r="O27" s="566"/>
      <c r="P27" s="356"/>
      <c r="Q27" s="356"/>
      <c r="R27" s="356"/>
      <c r="S27" s="356"/>
      <c r="T27" s="356"/>
      <c r="U27" s="356"/>
      <c r="V27" s="356"/>
      <c r="W27" s="356"/>
      <c r="X27" s="356"/>
      <c r="Y27" s="356"/>
    </row>
    <row r="28" spans="1:25" ht="15" customHeight="1" x14ac:dyDescent="0.25">
      <c r="A28" s="121"/>
      <c r="C28" s="131"/>
      <c r="D28" s="131"/>
      <c r="E28" s="131"/>
      <c r="F28" s="131"/>
      <c r="G28" s="131"/>
      <c r="H28" s="131"/>
      <c r="I28" s="131"/>
      <c r="J28" s="131"/>
      <c r="K28" s="131"/>
      <c r="L28" s="131"/>
      <c r="M28" s="131"/>
      <c r="O28" s="567"/>
      <c r="P28" s="356"/>
      <c r="Q28" s="356"/>
      <c r="R28" s="356"/>
      <c r="S28" s="356"/>
      <c r="T28" s="356"/>
      <c r="U28" s="356"/>
      <c r="V28" s="356"/>
      <c r="W28" s="356"/>
      <c r="X28" s="356"/>
      <c r="Y28" s="356"/>
    </row>
    <row r="29" spans="1:25" s="37" customFormat="1" ht="15" customHeight="1" x14ac:dyDescent="0.25">
      <c r="A29" s="120" t="s">
        <v>132</v>
      </c>
      <c r="C29" s="496" t="s">
        <v>893</v>
      </c>
      <c r="D29" s="131"/>
      <c r="E29" s="131"/>
      <c r="F29" s="131"/>
      <c r="G29" s="131"/>
      <c r="H29" s="131"/>
      <c r="I29" s="131"/>
      <c r="J29" s="131"/>
      <c r="K29" s="131"/>
      <c r="L29" s="131"/>
      <c r="M29" s="131"/>
      <c r="O29" s="564" t="s">
        <v>898</v>
      </c>
      <c r="P29" s="565"/>
      <c r="Q29" s="565"/>
      <c r="R29" s="565"/>
      <c r="S29" s="565"/>
      <c r="T29" s="565"/>
      <c r="U29" s="565"/>
      <c r="V29" s="565"/>
      <c r="W29" s="565"/>
      <c r="X29" s="565"/>
      <c r="Y29" s="565"/>
    </row>
    <row r="30" spans="1:25" ht="15" customHeight="1" x14ac:dyDescent="0.25">
      <c r="A30" s="121" t="s">
        <v>133</v>
      </c>
      <c r="C30" s="273"/>
      <c r="D30" s="273"/>
      <c r="E30" s="273"/>
      <c r="F30" s="273"/>
      <c r="G30" s="273"/>
      <c r="H30" s="273"/>
      <c r="I30" s="273"/>
      <c r="J30" s="273"/>
      <c r="K30" s="273"/>
      <c r="L30" s="273"/>
      <c r="M30" s="273"/>
      <c r="O30" s="566"/>
      <c r="P30" s="356"/>
      <c r="Q30" s="356"/>
      <c r="R30" s="356"/>
      <c r="S30" s="356"/>
      <c r="T30" s="356"/>
      <c r="U30" s="356"/>
      <c r="V30" s="356"/>
      <c r="W30" s="356"/>
      <c r="X30" s="356"/>
      <c r="Y30" s="356"/>
    </row>
    <row r="31" spans="1:25" ht="15" customHeight="1" x14ac:dyDescent="0.25">
      <c r="A31" s="121" t="s">
        <v>134</v>
      </c>
      <c r="C31" s="273"/>
      <c r="D31" s="273"/>
      <c r="E31" s="273"/>
      <c r="F31" s="273"/>
      <c r="G31" s="273"/>
      <c r="H31" s="273"/>
      <c r="I31" s="273"/>
      <c r="J31" s="273"/>
      <c r="K31" s="273"/>
      <c r="L31" s="273"/>
      <c r="M31" s="273"/>
      <c r="O31" s="566"/>
      <c r="P31" s="356"/>
      <c r="Q31" s="356"/>
      <c r="R31" s="356"/>
      <c r="S31" s="356"/>
      <c r="T31" s="356"/>
      <c r="U31" s="356"/>
      <c r="V31" s="356"/>
      <c r="W31" s="356"/>
      <c r="X31" s="356"/>
      <c r="Y31" s="356"/>
    </row>
    <row r="32" spans="1:25" ht="15" customHeight="1" x14ac:dyDescent="0.25">
      <c r="A32" s="121" t="s">
        <v>135</v>
      </c>
      <c r="C32" s="273"/>
      <c r="D32" s="273"/>
      <c r="E32" s="273"/>
      <c r="F32" s="273"/>
      <c r="G32" s="273"/>
      <c r="H32" s="273"/>
      <c r="I32" s="273"/>
      <c r="J32" s="273"/>
      <c r="K32" s="273"/>
      <c r="L32" s="273"/>
      <c r="M32" s="273"/>
      <c r="O32" s="566"/>
      <c r="P32" s="356"/>
      <c r="Q32" s="356"/>
      <c r="R32" s="356"/>
      <c r="S32" s="356"/>
      <c r="T32" s="356"/>
      <c r="U32" s="356"/>
      <c r="V32" s="356"/>
      <c r="W32" s="356"/>
      <c r="X32" s="356"/>
      <c r="Y32" s="356"/>
    </row>
    <row r="33" spans="1:25" ht="15" customHeight="1" x14ac:dyDescent="0.25">
      <c r="A33" s="121"/>
      <c r="C33" s="131"/>
      <c r="D33" s="131"/>
      <c r="E33" s="131"/>
      <c r="F33" s="131"/>
      <c r="G33" s="131"/>
      <c r="H33" s="131"/>
      <c r="I33" s="131"/>
      <c r="J33" s="131"/>
      <c r="K33" s="131"/>
      <c r="L33" s="131"/>
      <c r="M33" s="131"/>
      <c r="O33" s="567"/>
      <c r="P33" s="356"/>
      <c r="Q33" s="356"/>
      <c r="R33" s="356"/>
      <c r="S33" s="356"/>
      <c r="T33" s="356"/>
      <c r="U33" s="356"/>
      <c r="V33" s="356"/>
      <c r="W33" s="356"/>
      <c r="X33" s="356"/>
      <c r="Y33" s="356"/>
    </row>
    <row r="34" spans="1:25" s="37" customFormat="1" ht="15" customHeight="1" x14ac:dyDescent="0.25">
      <c r="A34" s="120" t="s">
        <v>136</v>
      </c>
      <c r="C34" s="496" t="s">
        <v>894</v>
      </c>
      <c r="D34" s="131"/>
      <c r="E34" s="131"/>
      <c r="F34" s="131"/>
      <c r="G34" s="131"/>
      <c r="H34" s="131"/>
      <c r="I34" s="131"/>
      <c r="J34" s="131"/>
      <c r="K34" s="131"/>
      <c r="L34" s="131"/>
      <c r="M34" s="131"/>
      <c r="O34" s="564" t="s">
        <v>899</v>
      </c>
      <c r="P34" s="565"/>
      <c r="Q34" s="565"/>
      <c r="R34" s="565"/>
      <c r="S34" s="565"/>
      <c r="T34" s="565"/>
      <c r="U34" s="565"/>
      <c r="V34" s="565"/>
      <c r="W34" s="565"/>
      <c r="X34" s="565"/>
      <c r="Y34" s="565"/>
    </row>
    <row r="35" spans="1:25" ht="15" customHeight="1" x14ac:dyDescent="0.25">
      <c r="A35" s="121" t="s">
        <v>137</v>
      </c>
      <c r="C35" s="273"/>
      <c r="D35" s="273"/>
      <c r="E35" s="273"/>
      <c r="F35" s="273"/>
      <c r="G35" s="273"/>
      <c r="H35" s="273"/>
      <c r="I35" s="273"/>
      <c r="J35" s="273"/>
      <c r="K35" s="273"/>
      <c r="L35" s="273"/>
      <c r="M35" s="273"/>
      <c r="O35" s="566"/>
      <c r="P35" s="356"/>
      <c r="Q35" s="356"/>
      <c r="R35" s="356"/>
      <c r="S35" s="356"/>
      <c r="T35" s="356"/>
      <c r="U35" s="356"/>
      <c r="V35" s="356"/>
      <c r="W35" s="356"/>
      <c r="X35" s="356"/>
      <c r="Y35" s="356"/>
    </row>
    <row r="36" spans="1:25" ht="15" customHeight="1" x14ac:dyDescent="0.25">
      <c r="A36" s="121" t="s">
        <v>138</v>
      </c>
      <c r="B36" s="8"/>
      <c r="C36" s="273"/>
      <c r="D36" s="273"/>
      <c r="E36" s="273"/>
      <c r="F36" s="273"/>
      <c r="G36" s="273"/>
      <c r="H36" s="273"/>
      <c r="I36" s="273"/>
      <c r="J36" s="273"/>
      <c r="K36" s="273"/>
      <c r="L36" s="273"/>
      <c r="M36" s="273"/>
      <c r="O36" s="566"/>
      <c r="P36" s="356"/>
      <c r="Q36" s="356"/>
      <c r="R36" s="356"/>
      <c r="S36" s="356"/>
      <c r="T36" s="356"/>
      <c r="U36" s="356"/>
      <c r="V36" s="356"/>
      <c r="W36" s="356"/>
      <c r="X36" s="356"/>
      <c r="Y36" s="356"/>
    </row>
    <row r="37" spans="1:25" ht="15" customHeight="1" x14ac:dyDescent="0.25">
      <c r="A37" s="121" t="s">
        <v>139</v>
      </c>
      <c r="B37" s="8"/>
      <c r="C37" s="273" t="s">
        <v>75</v>
      </c>
      <c r="D37" s="273" t="s">
        <v>75</v>
      </c>
      <c r="E37" s="273" t="s">
        <v>75</v>
      </c>
      <c r="F37" s="273" t="s">
        <v>75</v>
      </c>
      <c r="G37" s="273" t="s">
        <v>75</v>
      </c>
      <c r="H37" s="273" t="s">
        <v>75</v>
      </c>
      <c r="I37" s="273" t="s">
        <v>75</v>
      </c>
      <c r="J37" s="273" t="s">
        <v>75</v>
      </c>
      <c r="K37" s="273" t="s">
        <v>75</v>
      </c>
      <c r="L37" s="273" t="s">
        <v>75</v>
      </c>
      <c r="M37" s="273" t="s">
        <v>75</v>
      </c>
      <c r="O37" s="273" t="s">
        <v>75</v>
      </c>
      <c r="P37" s="273" t="s">
        <v>75</v>
      </c>
      <c r="Q37" s="273" t="s">
        <v>75</v>
      </c>
      <c r="R37" s="273" t="s">
        <v>75</v>
      </c>
      <c r="S37" s="273" t="s">
        <v>75</v>
      </c>
      <c r="T37" s="273" t="s">
        <v>75</v>
      </c>
      <c r="U37" s="273" t="s">
        <v>75</v>
      </c>
      <c r="V37" s="273" t="s">
        <v>75</v>
      </c>
      <c r="W37" s="273" t="s">
        <v>75</v>
      </c>
      <c r="X37" s="273" t="s">
        <v>75</v>
      </c>
      <c r="Y37" s="273" t="s">
        <v>75</v>
      </c>
    </row>
    <row r="38" spans="1:25" ht="15" customHeight="1" thickBot="1" x14ac:dyDescent="0.3">
      <c r="A38" s="371"/>
      <c r="B38" s="95"/>
      <c r="C38" s="83"/>
      <c r="D38" s="83"/>
      <c r="E38" s="83"/>
      <c r="F38" s="83"/>
      <c r="G38" s="83"/>
      <c r="H38" s="83"/>
      <c r="I38" s="83"/>
      <c r="J38" s="83"/>
      <c r="K38" s="83"/>
      <c r="L38" s="83"/>
      <c r="M38" s="83"/>
      <c r="N38" s="83"/>
      <c r="O38" s="83"/>
      <c r="P38" s="83"/>
      <c r="Q38" s="83"/>
      <c r="R38" s="83"/>
      <c r="S38" s="83"/>
      <c r="T38" s="83"/>
      <c r="U38" s="83"/>
      <c r="V38" s="83"/>
      <c r="W38" s="83"/>
      <c r="X38" s="83"/>
      <c r="Y38" s="83"/>
    </row>
    <row r="39" spans="1:25" ht="15" customHeight="1" x14ac:dyDescent="0.25">
      <c r="A39" s="121"/>
      <c r="B39" s="8"/>
    </row>
    <row r="40" spans="1:25" x14ac:dyDescent="0.25">
      <c r="A40" s="673" t="s">
        <v>172</v>
      </c>
      <c r="B40" s="673"/>
      <c r="C40" s="348"/>
      <c r="D40" s="348"/>
      <c r="E40" s="348"/>
      <c r="F40" s="348"/>
      <c r="G40" s="348"/>
    </row>
    <row r="41" spans="1:25" x14ac:dyDescent="0.25">
      <c r="A41" s="352"/>
      <c r="B41" s="352"/>
    </row>
    <row r="42" spans="1:25" ht="13.2" customHeight="1" x14ac:dyDescent="0.25">
      <c r="A42" s="674" t="s">
        <v>93</v>
      </c>
      <c r="B42" s="674"/>
      <c r="C42" s="674"/>
      <c r="D42" s="674"/>
      <c r="E42" s="674"/>
      <c r="F42" s="674"/>
      <c r="G42" s="674"/>
      <c r="H42" s="674"/>
      <c r="I42" s="674"/>
      <c r="J42" s="674"/>
      <c r="K42" s="674"/>
      <c r="L42" s="674"/>
      <c r="M42" s="674"/>
      <c r="N42" s="674"/>
      <c r="O42" s="674"/>
    </row>
    <row r="43" spans="1:25" ht="30.75" customHeight="1" x14ac:dyDescent="0.25">
      <c r="A43" s="673" t="s">
        <v>94</v>
      </c>
      <c r="B43" s="673"/>
      <c r="C43" s="673"/>
      <c r="D43" s="673"/>
      <c r="E43" s="673"/>
      <c r="F43" s="673"/>
      <c r="G43" s="673"/>
      <c r="H43" s="673"/>
      <c r="I43" s="673"/>
      <c r="J43" s="673"/>
      <c r="K43" s="673"/>
      <c r="L43" s="673"/>
      <c r="M43" s="673"/>
      <c r="N43" s="673"/>
      <c r="O43" s="673"/>
    </row>
    <row r="44" spans="1:25" ht="32.25" customHeight="1" x14ac:dyDescent="0.25"/>
    <row r="45" spans="1:25" ht="32.25" customHeight="1" x14ac:dyDescent="0.25"/>
    <row r="46" spans="1:25" ht="29.55" customHeight="1" x14ac:dyDescent="0.25"/>
  </sheetData>
  <mergeCells count="5">
    <mergeCell ref="A3:G3"/>
    <mergeCell ref="A5:F5"/>
    <mergeCell ref="A40:B40"/>
    <mergeCell ref="A42:O42"/>
    <mergeCell ref="A43:O43"/>
  </mergeCells>
  <conditionalFormatting sqref="B20:B35">
    <cfRule type="duplicateValues" dxfId="16" priority="3"/>
  </conditionalFormatting>
  <conditionalFormatting sqref="C8:M8">
    <cfRule type="duplicateValues" dxfId="15" priority="2"/>
  </conditionalFormatting>
  <conditionalFormatting sqref="O8:Y8">
    <cfRule type="duplicateValues" dxfId="14" priority="1"/>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4"/>
  <sheetViews>
    <sheetView showGridLines="0" workbookViewId="0"/>
  </sheetViews>
  <sheetFormatPr defaultColWidth="9" defaultRowHeight="13.2" x14ac:dyDescent="0.25"/>
  <cols>
    <col min="1" max="1" width="13.796875" style="1" customWidth="1"/>
    <col min="2" max="2" width="69.296875" style="1" customWidth="1"/>
    <col min="3" max="3" width="14.59765625" style="1" customWidth="1"/>
    <col min="4" max="7" width="9.09765625" style="1" customWidth="1"/>
    <col min="8" max="8" width="11.19921875" style="1" customWidth="1"/>
    <col min="9" max="9" width="9.09765625" style="1" customWidth="1"/>
    <col min="10" max="200" width="9" style="1"/>
    <col min="201" max="201" width="1.19921875" style="1" customWidth="1"/>
    <col min="202" max="202" width="70.59765625" style="1" customWidth="1"/>
    <col min="203" max="207" width="10.59765625" style="1" customWidth="1"/>
    <col min="208" max="456" width="9" style="1"/>
    <col min="457" max="457" width="1.19921875" style="1" customWidth="1"/>
    <col min="458" max="458" width="70.59765625" style="1" customWidth="1"/>
    <col min="459" max="463" width="10.59765625" style="1" customWidth="1"/>
    <col min="464" max="712" width="9" style="1"/>
    <col min="713" max="713" width="1.19921875" style="1" customWidth="1"/>
    <col min="714" max="714" width="70.59765625" style="1" customWidth="1"/>
    <col min="715" max="719" width="10.59765625" style="1" customWidth="1"/>
    <col min="720" max="968" width="9" style="1"/>
    <col min="969" max="969" width="1.19921875" style="1" customWidth="1"/>
    <col min="970" max="970" width="70.59765625" style="1" customWidth="1"/>
    <col min="971" max="975" width="10.59765625" style="1" customWidth="1"/>
    <col min="976" max="1224" width="9" style="1"/>
    <col min="1225" max="1225" width="1.19921875" style="1" customWidth="1"/>
    <col min="1226" max="1226" width="70.59765625" style="1" customWidth="1"/>
    <col min="1227" max="1231" width="10.59765625" style="1" customWidth="1"/>
    <col min="1232" max="1480" width="9" style="1"/>
    <col min="1481" max="1481" width="1.19921875" style="1" customWidth="1"/>
    <col min="1482" max="1482" width="70.59765625" style="1" customWidth="1"/>
    <col min="1483" max="1487" width="10.59765625" style="1" customWidth="1"/>
    <col min="1488" max="1736" width="9" style="1"/>
    <col min="1737" max="1737" width="1.19921875" style="1" customWidth="1"/>
    <col min="1738" max="1738" width="70.59765625" style="1" customWidth="1"/>
    <col min="1739" max="1743" width="10.59765625" style="1" customWidth="1"/>
    <col min="1744" max="1992" width="9" style="1"/>
    <col min="1993" max="1993" width="1.19921875" style="1" customWidth="1"/>
    <col min="1994" max="1994" width="70.59765625" style="1" customWidth="1"/>
    <col min="1995" max="1999" width="10.59765625" style="1" customWidth="1"/>
    <col min="2000" max="2248" width="9" style="1"/>
    <col min="2249" max="2249" width="1.19921875" style="1" customWidth="1"/>
    <col min="2250" max="2250" width="70.59765625" style="1" customWidth="1"/>
    <col min="2251" max="2255" width="10.59765625" style="1" customWidth="1"/>
    <col min="2256" max="2504" width="9" style="1"/>
    <col min="2505" max="2505" width="1.19921875" style="1" customWidth="1"/>
    <col min="2506" max="2506" width="70.59765625" style="1" customWidth="1"/>
    <col min="2507" max="2511" width="10.59765625" style="1" customWidth="1"/>
    <col min="2512" max="2760" width="9" style="1"/>
    <col min="2761" max="2761" width="1.19921875" style="1" customWidth="1"/>
    <col min="2762" max="2762" width="70.59765625" style="1" customWidth="1"/>
    <col min="2763" max="2767" width="10.59765625" style="1" customWidth="1"/>
    <col min="2768" max="3016" width="9" style="1"/>
    <col min="3017" max="3017" width="1.19921875" style="1" customWidth="1"/>
    <col min="3018" max="3018" width="70.59765625" style="1" customWidth="1"/>
    <col min="3019" max="3023" width="10.59765625" style="1" customWidth="1"/>
    <col min="3024" max="3272" width="9" style="1"/>
    <col min="3273" max="3273" width="1.19921875" style="1" customWidth="1"/>
    <col min="3274" max="3274" width="70.59765625" style="1" customWidth="1"/>
    <col min="3275" max="3279" width="10.59765625" style="1" customWidth="1"/>
    <col min="3280" max="3528" width="9" style="1"/>
    <col min="3529" max="3529" width="1.19921875" style="1" customWidth="1"/>
    <col min="3530" max="3530" width="70.59765625" style="1" customWidth="1"/>
    <col min="3531" max="3535" width="10.59765625" style="1" customWidth="1"/>
    <col min="3536" max="3784" width="9" style="1"/>
    <col min="3785" max="3785" width="1.19921875" style="1" customWidth="1"/>
    <col min="3786" max="3786" width="70.59765625" style="1" customWidth="1"/>
    <col min="3787" max="3791" width="10.59765625" style="1" customWidth="1"/>
    <col min="3792" max="4040" width="9" style="1"/>
    <col min="4041" max="4041" width="1.19921875" style="1" customWidth="1"/>
    <col min="4042" max="4042" width="70.59765625" style="1" customWidth="1"/>
    <col min="4043" max="4047" width="10.59765625" style="1" customWidth="1"/>
    <col min="4048" max="4296" width="9" style="1"/>
    <col min="4297" max="4297" width="1.19921875" style="1" customWidth="1"/>
    <col min="4298" max="4298" width="70.59765625" style="1" customWidth="1"/>
    <col min="4299" max="4303" width="10.59765625" style="1" customWidth="1"/>
    <col min="4304" max="4552" width="9" style="1"/>
    <col min="4553" max="4553" width="1.19921875" style="1" customWidth="1"/>
    <col min="4554" max="4554" width="70.59765625" style="1" customWidth="1"/>
    <col min="4555" max="4559" width="10.59765625" style="1" customWidth="1"/>
    <col min="4560" max="4808" width="9" style="1"/>
    <col min="4809" max="4809" width="1.19921875" style="1" customWidth="1"/>
    <col min="4810" max="4810" width="70.59765625" style="1" customWidth="1"/>
    <col min="4811" max="4815" width="10.59765625" style="1" customWidth="1"/>
    <col min="4816" max="5064" width="9" style="1"/>
    <col min="5065" max="5065" width="1.19921875" style="1" customWidth="1"/>
    <col min="5066" max="5066" width="70.59765625" style="1" customWidth="1"/>
    <col min="5067" max="5071" width="10.59765625" style="1" customWidth="1"/>
    <col min="5072" max="5320" width="9" style="1"/>
    <col min="5321" max="5321" width="1.19921875" style="1" customWidth="1"/>
    <col min="5322" max="5322" width="70.59765625" style="1" customWidth="1"/>
    <col min="5323" max="5327" width="10.59765625" style="1" customWidth="1"/>
    <col min="5328" max="5576" width="9" style="1"/>
    <col min="5577" max="5577" width="1.19921875" style="1" customWidth="1"/>
    <col min="5578" max="5578" width="70.59765625" style="1" customWidth="1"/>
    <col min="5579" max="5583" width="10.59765625" style="1" customWidth="1"/>
    <col min="5584" max="5832" width="9" style="1"/>
    <col min="5833" max="5833" width="1.19921875" style="1" customWidth="1"/>
    <col min="5834" max="5834" width="70.59765625" style="1" customWidth="1"/>
    <col min="5835" max="5839" width="10.59765625" style="1" customWidth="1"/>
    <col min="5840" max="6088" width="9" style="1"/>
    <col min="6089" max="6089" width="1.19921875" style="1" customWidth="1"/>
    <col min="6090" max="6090" width="70.59765625" style="1" customWidth="1"/>
    <col min="6091" max="6095" width="10.59765625" style="1" customWidth="1"/>
    <col min="6096" max="6344" width="9" style="1"/>
    <col min="6345" max="6345" width="1.19921875" style="1" customWidth="1"/>
    <col min="6346" max="6346" width="70.59765625" style="1" customWidth="1"/>
    <col min="6347" max="6351" width="10.59765625" style="1" customWidth="1"/>
    <col min="6352" max="6600" width="9" style="1"/>
    <col min="6601" max="6601" width="1.19921875" style="1" customWidth="1"/>
    <col min="6602" max="6602" width="70.59765625" style="1" customWidth="1"/>
    <col min="6603" max="6607" width="10.59765625" style="1" customWidth="1"/>
    <col min="6608" max="6856" width="9" style="1"/>
    <col min="6857" max="6857" width="1.19921875" style="1" customWidth="1"/>
    <col min="6858" max="6858" width="70.59765625" style="1" customWidth="1"/>
    <col min="6859" max="6863" width="10.59765625" style="1" customWidth="1"/>
    <col min="6864" max="7112" width="9" style="1"/>
    <col min="7113" max="7113" width="1.19921875" style="1" customWidth="1"/>
    <col min="7114" max="7114" width="70.59765625" style="1" customWidth="1"/>
    <col min="7115" max="7119" width="10.59765625" style="1" customWidth="1"/>
    <col min="7120" max="7368" width="9" style="1"/>
    <col min="7369" max="7369" width="1.19921875" style="1" customWidth="1"/>
    <col min="7370" max="7370" width="70.59765625" style="1" customWidth="1"/>
    <col min="7371" max="7375" width="10.59765625" style="1" customWidth="1"/>
    <col min="7376" max="7624" width="9" style="1"/>
    <col min="7625" max="7625" width="1.19921875" style="1" customWidth="1"/>
    <col min="7626" max="7626" width="70.59765625" style="1" customWidth="1"/>
    <col min="7627" max="7631" width="10.59765625" style="1" customWidth="1"/>
    <col min="7632" max="7880" width="9" style="1"/>
    <col min="7881" max="7881" width="1.19921875" style="1" customWidth="1"/>
    <col min="7882" max="7882" width="70.59765625" style="1" customWidth="1"/>
    <col min="7883" max="7887" width="10.59765625" style="1" customWidth="1"/>
    <col min="7888" max="8136" width="9" style="1"/>
    <col min="8137" max="8137" width="1.19921875" style="1" customWidth="1"/>
    <col min="8138" max="8138" width="70.59765625" style="1" customWidth="1"/>
    <col min="8139" max="8143" width="10.59765625" style="1" customWidth="1"/>
    <col min="8144" max="8392" width="9" style="1"/>
    <col min="8393" max="8393" width="1.19921875" style="1" customWidth="1"/>
    <col min="8394" max="8394" width="70.59765625" style="1" customWidth="1"/>
    <col min="8395" max="8399" width="10.59765625" style="1" customWidth="1"/>
    <col min="8400" max="8648" width="9" style="1"/>
    <col min="8649" max="8649" width="1.19921875" style="1" customWidth="1"/>
    <col min="8650" max="8650" width="70.59765625" style="1" customWidth="1"/>
    <col min="8651" max="8655" width="10.59765625" style="1" customWidth="1"/>
    <col min="8656" max="8904" width="9" style="1"/>
    <col min="8905" max="8905" width="1.19921875" style="1" customWidth="1"/>
    <col min="8906" max="8906" width="70.59765625" style="1" customWidth="1"/>
    <col min="8907" max="8911" width="10.59765625" style="1" customWidth="1"/>
    <col min="8912" max="9160" width="9" style="1"/>
    <col min="9161" max="9161" width="1.19921875" style="1" customWidth="1"/>
    <col min="9162" max="9162" width="70.59765625" style="1" customWidth="1"/>
    <col min="9163" max="9167" width="10.59765625" style="1" customWidth="1"/>
    <col min="9168" max="9416" width="9" style="1"/>
    <col min="9417" max="9417" width="1.19921875" style="1" customWidth="1"/>
    <col min="9418" max="9418" width="70.59765625" style="1" customWidth="1"/>
    <col min="9419" max="9423" width="10.59765625" style="1" customWidth="1"/>
    <col min="9424" max="9672" width="9" style="1"/>
    <col min="9673" max="9673" width="1.19921875" style="1" customWidth="1"/>
    <col min="9674" max="9674" width="70.59765625" style="1" customWidth="1"/>
    <col min="9675" max="9679" width="10.59765625" style="1" customWidth="1"/>
    <col min="9680" max="9928" width="9" style="1"/>
    <col min="9929" max="9929" width="1.19921875" style="1" customWidth="1"/>
    <col min="9930" max="9930" width="70.59765625" style="1" customWidth="1"/>
    <col min="9931" max="9935" width="10.59765625" style="1" customWidth="1"/>
    <col min="9936" max="10184" width="9" style="1"/>
    <col min="10185" max="10185" width="1.19921875" style="1" customWidth="1"/>
    <col min="10186" max="10186" width="70.59765625" style="1" customWidth="1"/>
    <col min="10187" max="10191" width="10.59765625" style="1" customWidth="1"/>
    <col min="10192" max="10440" width="9" style="1"/>
    <col min="10441" max="10441" width="1.19921875" style="1" customWidth="1"/>
    <col min="10442" max="10442" width="70.59765625" style="1" customWidth="1"/>
    <col min="10443" max="10447" width="10.59765625" style="1" customWidth="1"/>
    <col min="10448" max="10696" width="9" style="1"/>
    <col min="10697" max="10697" width="1.19921875" style="1" customWidth="1"/>
    <col min="10698" max="10698" width="70.59765625" style="1" customWidth="1"/>
    <col min="10699" max="10703" width="10.59765625" style="1" customWidth="1"/>
    <col min="10704" max="10952" width="9" style="1"/>
    <col min="10953" max="10953" width="1.19921875" style="1" customWidth="1"/>
    <col min="10954" max="10954" width="70.59765625" style="1" customWidth="1"/>
    <col min="10955" max="10959" width="10.59765625" style="1" customWidth="1"/>
    <col min="10960" max="11208" width="9" style="1"/>
    <col min="11209" max="11209" width="1.19921875" style="1" customWidth="1"/>
    <col min="11210" max="11210" width="70.59765625" style="1" customWidth="1"/>
    <col min="11211" max="11215" width="10.59765625" style="1" customWidth="1"/>
    <col min="11216" max="11464" width="9" style="1"/>
    <col min="11465" max="11465" width="1.19921875" style="1" customWidth="1"/>
    <col min="11466" max="11466" width="70.59765625" style="1" customWidth="1"/>
    <col min="11467" max="11471" width="10.59765625" style="1" customWidth="1"/>
    <col min="11472" max="11720" width="9" style="1"/>
    <col min="11721" max="11721" width="1.19921875" style="1" customWidth="1"/>
    <col min="11722" max="11722" width="70.59765625" style="1" customWidth="1"/>
    <col min="11723" max="11727" width="10.59765625" style="1" customWidth="1"/>
    <col min="11728" max="11976" width="9" style="1"/>
    <col min="11977" max="11977" width="1.19921875" style="1" customWidth="1"/>
    <col min="11978" max="11978" width="70.59765625" style="1" customWidth="1"/>
    <col min="11979" max="11983" width="10.59765625" style="1" customWidth="1"/>
    <col min="11984" max="12232" width="9" style="1"/>
    <col min="12233" max="12233" width="1.19921875" style="1" customWidth="1"/>
    <col min="12234" max="12234" width="70.59765625" style="1" customWidth="1"/>
    <col min="12235" max="12239" width="10.59765625" style="1" customWidth="1"/>
    <col min="12240" max="12488" width="9" style="1"/>
    <col min="12489" max="12489" width="1.19921875" style="1" customWidth="1"/>
    <col min="12490" max="12490" width="70.59765625" style="1" customWidth="1"/>
    <col min="12491" max="12495" width="10.59765625" style="1" customWidth="1"/>
    <col min="12496" max="12744" width="9" style="1"/>
    <col min="12745" max="12745" width="1.19921875" style="1" customWidth="1"/>
    <col min="12746" max="12746" width="70.59765625" style="1" customWidth="1"/>
    <col min="12747" max="12751" width="10.59765625" style="1" customWidth="1"/>
    <col min="12752" max="13000" width="9" style="1"/>
    <col min="13001" max="13001" width="1.19921875" style="1" customWidth="1"/>
    <col min="13002" max="13002" width="70.59765625" style="1" customWidth="1"/>
    <col min="13003" max="13007" width="10.59765625" style="1" customWidth="1"/>
    <col min="13008" max="13256" width="9" style="1"/>
    <col min="13257" max="13257" width="1.19921875" style="1" customWidth="1"/>
    <col min="13258" max="13258" width="70.59765625" style="1" customWidth="1"/>
    <col min="13259" max="13263" width="10.59765625" style="1" customWidth="1"/>
    <col min="13264" max="13512" width="9" style="1"/>
    <col min="13513" max="13513" width="1.19921875" style="1" customWidth="1"/>
    <col min="13514" max="13514" width="70.59765625" style="1" customWidth="1"/>
    <col min="13515" max="13519" width="10.59765625" style="1" customWidth="1"/>
    <col min="13520" max="13768" width="9" style="1"/>
    <col min="13769" max="13769" width="1.19921875" style="1" customWidth="1"/>
    <col min="13770" max="13770" width="70.59765625" style="1" customWidth="1"/>
    <col min="13771" max="13775" width="10.59765625" style="1" customWidth="1"/>
    <col min="13776" max="14024" width="9" style="1"/>
    <col min="14025" max="14025" width="1.19921875" style="1" customWidth="1"/>
    <col min="14026" max="14026" width="70.59765625" style="1" customWidth="1"/>
    <col min="14027" max="14031" width="10.59765625" style="1" customWidth="1"/>
    <col min="14032" max="14280" width="9" style="1"/>
    <col min="14281" max="14281" width="1.19921875" style="1" customWidth="1"/>
    <col min="14282" max="14282" width="70.59765625" style="1" customWidth="1"/>
    <col min="14283" max="14287" width="10.59765625" style="1" customWidth="1"/>
    <col min="14288" max="14536" width="9" style="1"/>
    <col min="14537" max="14537" width="1.19921875" style="1" customWidth="1"/>
    <col min="14538" max="14538" width="70.59765625" style="1" customWidth="1"/>
    <col min="14539" max="14543" width="10.59765625" style="1" customWidth="1"/>
    <col min="14544" max="14792" width="9" style="1"/>
    <col min="14793" max="14793" width="1.19921875" style="1" customWidth="1"/>
    <col min="14794" max="14794" width="70.59765625" style="1" customWidth="1"/>
    <col min="14795" max="14799" width="10.59765625" style="1" customWidth="1"/>
    <col min="14800" max="15048" width="9" style="1"/>
    <col min="15049" max="15049" width="1.19921875" style="1" customWidth="1"/>
    <col min="15050" max="15050" width="70.59765625" style="1" customWidth="1"/>
    <col min="15051" max="15055" width="10.59765625" style="1" customWidth="1"/>
    <col min="15056" max="15304" width="9" style="1"/>
    <col min="15305" max="15305" width="1.19921875" style="1" customWidth="1"/>
    <col min="15306" max="15306" width="70.59765625" style="1" customWidth="1"/>
    <col min="15307" max="15311" width="10.59765625" style="1" customWidth="1"/>
    <col min="15312" max="15560" width="9" style="1"/>
    <col min="15561" max="15561" width="1.19921875" style="1" customWidth="1"/>
    <col min="15562" max="15562" width="70.59765625" style="1" customWidth="1"/>
    <col min="15563" max="15567" width="10.59765625" style="1" customWidth="1"/>
    <col min="15568" max="16384" width="9" style="1"/>
  </cols>
  <sheetData>
    <row r="1" spans="1:15" ht="13.8" x14ac:dyDescent="0.25">
      <c r="A1" s="548" t="s">
        <v>991</v>
      </c>
      <c r="B1" s="61"/>
      <c r="C1" s="61"/>
      <c r="D1" s="61"/>
      <c r="E1" s="61"/>
      <c r="F1" s="61"/>
    </row>
    <row r="2" spans="1:15" x14ac:dyDescent="0.25">
      <c r="A2" s="61"/>
      <c r="B2" s="61"/>
      <c r="C2" s="61"/>
      <c r="D2" s="61"/>
      <c r="E2" s="61"/>
      <c r="F2" s="61"/>
    </row>
    <row r="3" spans="1:15" ht="30" customHeight="1" x14ac:dyDescent="0.25">
      <c r="A3" s="679" t="s">
        <v>1018</v>
      </c>
      <c r="B3" s="679"/>
      <c r="C3" s="679"/>
      <c r="D3" s="679"/>
    </row>
    <row r="4" spans="1:15" ht="16.5" customHeight="1" x14ac:dyDescent="0.25">
      <c r="A4" s="548"/>
      <c r="B4" s="548"/>
      <c r="C4" s="548"/>
    </row>
    <row r="5" spans="1:15" ht="154.05000000000001" customHeight="1" x14ac:dyDescent="0.25">
      <c r="A5" s="673" t="s">
        <v>993</v>
      </c>
      <c r="B5" s="673"/>
      <c r="C5" s="673"/>
      <c r="D5" s="673"/>
      <c r="E5" s="673"/>
      <c r="F5" s="673"/>
      <c r="G5" s="673"/>
      <c r="H5" s="673"/>
      <c r="I5" s="673"/>
      <c r="J5" s="673"/>
      <c r="K5" s="673"/>
      <c r="L5" s="673"/>
      <c r="M5" s="673"/>
      <c r="N5" s="673"/>
      <c r="O5" s="673"/>
    </row>
    <row r="6" spans="1:15" ht="13.8" thickBot="1" x14ac:dyDescent="0.3">
      <c r="A6" s="556"/>
      <c r="B6" s="556"/>
      <c r="C6" s="556"/>
      <c r="D6" s="83"/>
      <c r="E6" s="83"/>
      <c r="F6" s="83"/>
      <c r="G6" s="83"/>
      <c r="H6" s="83"/>
      <c r="I6" s="83"/>
      <c r="J6" s="83"/>
      <c r="K6" s="83"/>
      <c r="L6" s="83"/>
      <c r="M6" s="83"/>
      <c r="N6" s="83"/>
      <c r="O6" s="83"/>
    </row>
    <row r="7" spans="1:15" ht="42" customHeight="1" x14ac:dyDescent="0.25">
      <c r="A7" s="684" t="s">
        <v>142</v>
      </c>
      <c r="B7" s="685"/>
      <c r="C7" s="686"/>
      <c r="D7" s="690" t="s">
        <v>146</v>
      </c>
      <c r="E7" s="690"/>
      <c r="F7" s="690"/>
      <c r="G7" s="690"/>
      <c r="H7" s="690"/>
      <c r="I7" s="691"/>
      <c r="J7" s="692" t="s">
        <v>994</v>
      </c>
      <c r="K7" s="690"/>
      <c r="L7" s="690"/>
      <c r="M7" s="690"/>
      <c r="N7" s="690"/>
      <c r="O7" s="693"/>
    </row>
    <row r="8" spans="1:15" ht="42" customHeight="1" thickBot="1" x14ac:dyDescent="0.3">
      <c r="A8" s="687"/>
      <c r="B8" s="688"/>
      <c r="C8" s="689"/>
      <c r="D8" s="569" t="s">
        <v>109</v>
      </c>
      <c r="E8" s="570" t="s">
        <v>110</v>
      </c>
      <c r="F8" s="570" t="s">
        <v>984</v>
      </c>
      <c r="G8" s="570" t="s">
        <v>985</v>
      </c>
      <c r="H8" s="570" t="s">
        <v>986</v>
      </c>
      <c r="I8" s="572" t="s">
        <v>643</v>
      </c>
      <c r="J8" s="571" t="s">
        <v>101</v>
      </c>
      <c r="K8" s="571" t="s">
        <v>102</v>
      </c>
      <c r="L8" s="571" t="s">
        <v>104</v>
      </c>
      <c r="M8" s="571" t="s">
        <v>105</v>
      </c>
      <c r="N8" s="571" t="s">
        <v>106</v>
      </c>
      <c r="O8" s="573" t="s">
        <v>107</v>
      </c>
    </row>
    <row r="9" spans="1:15" x14ac:dyDescent="0.25">
      <c r="A9" s="553"/>
      <c r="B9" s="553"/>
      <c r="C9" s="552"/>
      <c r="D9" s="556"/>
      <c r="F9" s="556"/>
      <c r="G9" s="556"/>
    </row>
    <row r="10" spans="1:15" ht="15" customHeight="1" x14ac:dyDescent="0.25">
      <c r="A10" s="8"/>
      <c r="B10" s="4"/>
      <c r="C10" s="4"/>
      <c r="D10" s="331"/>
      <c r="E10" s="178"/>
      <c r="F10" s="129"/>
    </row>
    <row r="11" spans="1:15" ht="24" customHeight="1" x14ac:dyDescent="0.25">
      <c r="A11" s="568" t="s">
        <v>144</v>
      </c>
      <c r="B11" s="555"/>
      <c r="C11" s="724" t="s">
        <v>95</v>
      </c>
      <c r="D11" s="624" t="s">
        <v>1016</v>
      </c>
      <c r="E11" s="53"/>
      <c r="F11" s="634"/>
      <c r="G11" s="53"/>
      <c r="H11" s="53"/>
      <c r="I11" s="53"/>
      <c r="J11" s="53" t="s">
        <v>1038</v>
      </c>
      <c r="K11" s="53"/>
      <c r="L11" s="53"/>
      <c r="M11" s="53"/>
      <c r="N11" s="53"/>
      <c r="O11" s="53"/>
    </row>
    <row r="12" spans="1:15" ht="24" customHeight="1" x14ac:dyDescent="0.25">
      <c r="A12" s="554"/>
      <c r="B12" s="555"/>
      <c r="C12" s="724" t="s">
        <v>143</v>
      </c>
      <c r="D12" s="624"/>
      <c r="E12" s="53"/>
      <c r="F12" s="634"/>
      <c r="G12" s="53"/>
      <c r="H12" s="53"/>
      <c r="I12" s="53"/>
      <c r="J12" s="53"/>
      <c r="K12" s="53"/>
      <c r="L12" s="53"/>
      <c r="M12" s="53"/>
      <c r="N12" s="53"/>
      <c r="O12" s="53"/>
    </row>
    <row r="13" spans="1:15" ht="24" customHeight="1" x14ac:dyDescent="0.25">
      <c r="A13" s="554"/>
      <c r="B13" s="555"/>
      <c r="C13" s="724" t="s">
        <v>97</v>
      </c>
      <c r="D13" s="644"/>
      <c r="E13" s="102"/>
      <c r="F13" s="637"/>
      <c r="G13" s="102"/>
      <c r="H13" s="102"/>
      <c r="I13" s="102"/>
      <c r="J13" s="102"/>
      <c r="K13" s="102"/>
      <c r="L13" s="102"/>
      <c r="M13" s="102"/>
      <c r="N13" s="102"/>
      <c r="O13" s="102"/>
    </row>
    <row r="14" spans="1:15" ht="15" customHeight="1" x14ac:dyDescent="0.25">
      <c r="A14" s="4" t="s">
        <v>992</v>
      </c>
      <c r="B14" s="6"/>
      <c r="C14" s="626"/>
      <c r="D14" s="584"/>
      <c r="E14" s="130"/>
      <c r="F14" s="39"/>
      <c r="G14" s="39"/>
      <c r="H14" s="39"/>
      <c r="I14" s="39"/>
      <c r="J14" s="86"/>
      <c r="K14" s="86"/>
      <c r="L14" s="86"/>
      <c r="M14" s="86"/>
      <c r="N14" s="86"/>
      <c r="O14" s="86"/>
    </row>
    <row r="15" spans="1:15" ht="26.4" customHeight="1" x14ac:dyDescent="0.25">
      <c r="A15" s="327" t="s">
        <v>1017</v>
      </c>
      <c r="B15" s="625"/>
      <c r="C15" s="628"/>
      <c r="D15" s="630"/>
      <c r="E15" s="50"/>
      <c r="F15" s="631"/>
      <c r="G15" s="50"/>
      <c r="H15" s="50"/>
      <c r="I15" s="50"/>
      <c r="J15" s="50"/>
      <c r="K15" s="50"/>
      <c r="L15" s="50"/>
      <c r="M15" s="50"/>
      <c r="N15" s="50"/>
      <c r="O15" s="50"/>
    </row>
    <row r="16" spans="1:15" s="580" customFormat="1" ht="26.4" customHeight="1" x14ac:dyDescent="0.25">
      <c r="A16" s="327"/>
      <c r="B16" s="625"/>
      <c r="C16" s="628"/>
      <c r="D16" s="630"/>
      <c r="E16" s="50"/>
      <c r="F16" s="631"/>
      <c r="G16" s="50"/>
      <c r="H16" s="50"/>
      <c r="I16" s="50"/>
      <c r="J16" s="50"/>
      <c r="K16" s="50"/>
      <c r="L16" s="50"/>
      <c r="M16" s="50"/>
      <c r="N16" s="50"/>
      <c r="O16" s="50"/>
    </row>
    <row r="17" spans="1:15" s="580" customFormat="1" ht="26.4" customHeight="1" x14ac:dyDescent="0.25">
      <c r="A17" s="327"/>
      <c r="B17" s="625"/>
      <c r="C17" s="628"/>
      <c r="D17" s="630"/>
      <c r="E17" s="50"/>
      <c r="F17" s="631"/>
      <c r="G17" s="50"/>
      <c r="H17" s="50"/>
      <c r="I17" s="50"/>
      <c r="J17" s="50"/>
      <c r="K17" s="50"/>
      <c r="L17" s="50"/>
      <c r="M17" s="50"/>
      <c r="N17" s="50"/>
      <c r="O17" s="50"/>
    </row>
    <row r="18" spans="1:15" s="580" customFormat="1" ht="26.4" customHeight="1" x14ac:dyDescent="0.25">
      <c r="A18" s="327"/>
      <c r="B18" s="625"/>
      <c r="C18" s="628"/>
      <c r="D18" s="630"/>
      <c r="E18" s="50"/>
      <c r="F18" s="631"/>
      <c r="G18" s="50"/>
      <c r="H18" s="50"/>
      <c r="I18" s="50"/>
      <c r="J18" s="50"/>
      <c r="K18" s="50"/>
      <c r="L18" s="50"/>
      <c r="M18" s="50"/>
      <c r="N18" s="50"/>
      <c r="O18" s="50"/>
    </row>
    <row r="19" spans="1:15" s="580" customFormat="1" ht="26.4" customHeight="1" x14ac:dyDescent="0.25">
      <c r="A19" s="327"/>
      <c r="B19" s="625"/>
      <c r="C19" s="628"/>
      <c r="D19" s="630"/>
      <c r="E19" s="50"/>
      <c r="F19" s="631"/>
      <c r="G19" s="50"/>
      <c r="H19" s="50"/>
      <c r="I19" s="50"/>
      <c r="J19" s="50"/>
      <c r="K19" s="50"/>
      <c r="L19" s="50"/>
      <c r="M19" s="50"/>
      <c r="N19" s="50"/>
      <c r="O19" s="50"/>
    </row>
    <row r="20" spans="1:15" s="580" customFormat="1" ht="26.4" customHeight="1" x14ac:dyDescent="0.25">
      <c r="A20" s="327"/>
      <c r="B20" s="625"/>
      <c r="C20" s="628"/>
      <c r="D20" s="630"/>
      <c r="E20" s="50"/>
      <c r="F20" s="631"/>
      <c r="G20" s="50"/>
      <c r="H20" s="50"/>
      <c r="I20" s="50"/>
      <c r="J20" s="50"/>
      <c r="K20" s="50"/>
      <c r="L20" s="50"/>
      <c r="M20" s="50"/>
      <c r="N20" s="50"/>
      <c r="O20" s="50"/>
    </row>
    <row r="21" spans="1:15" s="580" customFormat="1" ht="26.4" customHeight="1" x14ac:dyDescent="0.25">
      <c r="A21" s="327"/>
      <c r="B21" s="625"/>
      <c r="C21" s="628"/>
      <c r="D21" s="630"/>
      <c r="E21" s="50"/>
      <c r="F21" s="631"/>
      <c r="G21" s="50"/>
      <c r="H21" s="50"/>
      <c r="I21" s="50"/>
      <c r="J21" s="50"/>
      <c r="K21" s="50"/>
      <c r="L21" s="50"/>
      <c r="M21" s="50"/>
      <c r="N21" s="50"/>
      <c r="O21" s="50"/>
    </row>
    <row r="22" spans="1:15" s="580" customFormat="1" ht="26.4" customHeight="1" x14ac:dyDescent="0.25">
      <c r="A22" s="327"/>
      <c r="B22" s="625"/>
      <c r="C22" s="628"/>
      <c r="D22" s="630"/>
      <c r="E22" s="50"/>
      <c r="F22" s="631"/>
      <c r="G22" s="50"/>
      <c r="H22" s="50"/>
      <c r="I22" s="50"/>
      <c r="J22" s="50"/>
      <c r="K22" s="50"/>
      <c r="L22" s="50"/>
      <c r="M22" s="50"/>
      <c r="N22" s="50"/>
      <c r="O22" s="50"/>
    </row>
    <row r="23" spans="1:15" s="580" customFormat="1" ht="26.4" customHeight="1" x14ac:dyDescent="0.25">
      <c r="A23" s="327"/>
      <c r="B23" s="625"/>
      <c r="C23" s="628"/>
      <c r="D23" s="630"/>
      <c r="E23" s="50"/>
      <c r="F23" s="631"/>
      <c r="G23" s="50"/>
      <c r="H23" s="50"/>
      <c r="I23" s="50"/>
      <c r="J23" s="50"/>
      <c r="K23" s="50"/>
      <c r="L23" s="50"/>
      <c r="M23" s="50"/>
      <c r="N23" s="50"/>
      <c r="O23" s="50"/>
    </row>
    <row r="24" spans="1:15" s="580" customFormat="1" ht="26.4" customHeight="1" x14ac:dyDescent="0.25">
      <c r="A24" s="327"/>
      <c r="B24" s="625"/>
      <c r="C24" s="628"/>
      <c r="D24" s="630"/>
      <c r="E24" s="50"/>
      <c r="F24" s="631"/>
      <c r="G24" s="50"/>
      <c r="H24" s="50"/>
      <c r="I24" s="50"/>
      <c r="J24" s="50"/>
      <c r="K24" s="50"/>
      <c r="L24" s="50"/>
      <c r="M24" s="50"/>
      <c r="N24" s="50"/>
      <c r="O24" s="50"/>
    </row>
    <row r="25" spans="1:15" s="580" customFormat="1" ht="26.4" customHeight="1" x14ac:dyDescent="0.25">
      <c r="A25" s="327"/>
      <c r="B25" s="625"/>
      <c r="C25" s="628"/>
      <c r="D25" s="630"/>
      <c r="E25" s="50"/>
      <c r="F25" s="631"/>
      <c r="G25" s="50"/>
      <c r="H25" s="50"/>
      <c r="I25" s="50"/>
      <c r="J25" s="50"/>
      <c r="K25" s="50"/>
      <c r="L25" s="50"/>
      <c r="M25" s="50"/>
      <c r="N25" s="50"/>
      <c r="O25" s="50"/>
    </row>
    <row r="26" spans="1:15" s="580" customFormat="1" ht="26.4" customHeight="1" x14ac:dyDescent="0.25">
      <c r="A26" s="327"/>
      <c r="B26" s="625"/>
      <c r="C26" s="628"/>
      <c r="D26" s="630"/>
      <c r="E26" s="50"/>
      <c r="F26" s="631"/>
      <c r="G26" s="50"/>
      <c r="H26" s="50"/>
      <c r="I26" s="50"/>
      <c r="J26" s="50"/>
      <c r="K26" s="50"/>
      <c r="L26" s="50"/>
      <c r="M26" s="50"/>
      <c r="N26" s="50"/>
      <c r="O26" s="50"/>
    </row>
    <row r="27" spans="1:15" s="580" customFormat="1" ht="26.4" customHeight="1" x14ac:dyDescent="0.25">
      <c r="A27" s="327"/>
      <c r="B27" s="625"/>
      <c r="C27" s="628"/>
      <c r="D27" s="630"/>
      <c r="E27" s="50"/>
      <c r="F27" s="631"/>
      <c r="G27" s="50"/>
      <c r="H27" s="50"/>
      <c r="I27" s="50"/>
      <c r="J27" s="50"/>
      <c r="K27" s="50"/>
      <c r="L27" s="50"/>
      <c r="M27" s="50"/>
      <c r="N27" s="50"/>
      <c r="O27" s="50"/>
    </row>
    <row r="28" spans="1:15" s="580" customFormat="1" ht="26.4" customHeight="1" x14ac:dyDescent="0.25">
      <c r="A28" s="327"/>
      <c r="B28" s="625"/>
      <c r="C28" s="628"/>
      <c r="D28" s="630"/>
      <c r="E28" s="50"/>
      <c r="F28" s="631"/>
      <c r="G28" s="50"/>
      <c r="H28" s="50"/>
      <c r="I28" s="50"/>
      <c r="J28" s="50"/>
      <c r="K28" s="50"/>
      <c r="L28" s="50"/>
      <c r="M28" s="50"/>
      <c r="N28" s="50"/>
      <c r="O28" s="50"/>
    </row>
    <row r="29" spans="1:15" s="580" customFormat="1" ht="26.4" customHeight="1" x14ac:dyDescent="0.25">
      <c r="A29" s="327"/>
      <c r="B29" s="625"/>
      <c r="C29" s="628"/>
      <c r="D29" s="630"/>
      <c r="E29" s="50"/>
      <c r="F29" s="631"/>
      <c r="G29" s="50"/>
      <c r="H29" s="50"/>
      <c r="I29" s="50"/>
      <c r="J29" s="50"/>
      <c r="K29" s="50"/>
      <c r="L29" s="50"/>
      <c r="M29" s="50"/>
      <c r="N29" s="50"/>
      <c r="O29" s="50"/>
    </row>
    <row r="30" spans="1:15" s="580" customFormat="1" ht="26.4" customHeight="1" x14ac:dyDescent="0.25">
      <c r="A30" s="327"/>
      <c r="B30" s="625"/>
      <c r="C30" s="628"/>
      <c r="D30" s="630"/>
      <c r="E30" s="50"/>
      <c r="F30" s="631"/>
      <c r="G30" s="50"/>
      <c r="H30" s="50"/>
      <c r="I30" s="50"/>
      <c r="J30" s="50"/>
      <c r="K30" s="50"/>
      <c r="L30" s="50"/>
      <c r="M30" s="50"/>
      <c r="N30" s="50"/>
      <c r="O30" s="50"/>
    </row>
    <row r="31" spans="1:15" s="580" customFormat="1" ht="26.4" customHeight="1" x14ac:dyDescent="0.25">
      <c r="A31" s="327"/>
      <c r="B31" s="625"/>
      <c r="C31" s="628"/>
      <c r="D31" s="630"/>
      <c r="E31" s="50"/>
      <c r="F31" s="631"/>
      <c r="G31" s="50"/>
      <c r="H31" s="50"/>
      <c r="I31" s="50"/>
      <c r="J31" s="50"/>
      <c r="K31" s="50"/>
      <c r="L31" s="50"/>
      <c r="M31" s="50"/>
      <c r="N31" s="50"/>
      <c r="O31" s="50"/>
    </row>
    <row r="32" spans="1:15" s="580" customFormat="1" ht="26.4" customHeight="1" x14ac:dyDescent="0.25">
      <c r="A32" s="327"/>
      <c r="B32" s="625"/>
      <c r="C32" s="628"/>
      <c r="D32" s="630"/>
      <c r="E32" s="50"/>
      <c r="F32" s="631"/>
      <c r="G32" s="50"/>
      <c r="H32" s="50"/>
      <c r="I32" s="50"/>
      <c r="J32" s="50"/>
      <c r="K32" s="50"/>
      <c r="L32" s="50"/>
      <c r="M32" s="50"/>
      <c r="N32" s="50"/>
      <c r="O32" s="50"/>
    </row>
    <row r="33" spans="1:15" s="580" customFormat="1" ht="26.4" customHeight="1" x14ac:dyDescent="0.25">
      <c r="A33" s="327"/>
      <c r="B33" s="625"/>
      <c r="C33" s="628"/>
      <c r="D33" s="630"/>
      <c r="E33" s="50"/>
      <c r="F33" s="631"/>
      <c r="G33" s="50"/>
      <c r="H33" s="50"/>
      <c r="I33" s="50"/>
      <c r="J33" s="50"/>
      <c r="K33" s="50"/>
      <c r="L33" s="50"/>
      <c r="M33" s="50"/>
      <c r="N33" s="50"/>
      <c r="O33" s="50"/>
    </row>
    <row r="34" spans="1:15" s="580" customFormat="1" ht="26.4" customHeight="1" x14ac:dyDescent="0.25">
      <c r="A34" s="327"/>
      <c r="B34" s="625"/>
      <c r="C34" s="628"/>
      <c r="D34" s="630"/>
      <c r="E34" s="50"/>
      <c r="F34" s="631"/>
      <c r="G34" s="50"/>
      <c r="H34" s="50"/>
      <c r="I34" s="50"/>
      <c r="J34" s="50"/>
      <c r="K34" s="50"/>
      <c r="L34" s="50"/>
      <c r="M34" s="50"/>
      <c r="N34" s="50"/>
      <c r="O34" s="50"/>
    </row>
    <row r="35" spans="1:15" s="580" customFormat="1" ht="26.4" customHeight="1" x14ac:dyDescent="0.25">
      <c r="A35" s="327"/>
      <c r="B35" s="625"/>
      <c r="C35" s="628"/>
      <c r="D35" s="630"/>
      <c r="E35" s="50"/>
      <c r="F35" s="631"/>
      <c r="G35" s="50"/>
      <c r="H35" s="50"/>
      <c r="I35" s="50"/>
      <c r="J35" s="50"/>
      <c r="K35" s="50"/>
      <c r="L35" s="50"/>
      <c r="M35" s="50"/>
      <c r="N35" s="50"/>
      <c r="O35" s="50"/>
    </row>
    <row r="36" spans="1:15" s="580" customFormat="1" ht="26.4" customHeight="1" x14ac:dyDescent="0.25">
      <c r="A36" s="327"/>
      <c r="B36" s="625"/>
      <c r="C36" s="628"/>
      <c r="D36" s="630"/>
      <c r="E36" s="50"/>
      <c r="F36" s="631"/>
      <c r="G36" s="50"/>
      <c r="H36" s="50"/>
      <c r="I36" s="50"/>
      <c r="J36" s="50"/>
      <c r="K36" s="50"/>
      <c r="L36" s="50"/>
      <c r="M36" s="50"/>
      <c r="N36" s="50"/>
      <c r="O36" s="50"/>
    </row>
    <row r="37" spans="1:15" s="580" customFormat="1" ht="26.4" customHeight="1" x14ac:dyDescent="0.25">
      <c r="A37" s="327"/>
      <c r="B37" s="625"/>
      <c r="C37" s="628"/>
      <c r="D37" s="630"/>
      <c r="E37" s="50"/>
      <c r="F37" s="631"/>
      <c r="G37" s="50"/>
      <c r="H37" s="50"/>
      <c r="I37" s="50"/>
      <c r="J37" s="50"/>
      <c r="K37" s="50"/>
      <c r="L37" s="50"/>
      <c r="M37" s="50"/>
      <c r="N37" s="50"/>
      <c r="O37" s="50"/>
    </row>
    <row r="38" spans="1:15" s="580" customFormat="1" ht="26.4" customHeight="1" x14ac:dyDescent="0.25">
      <c r="A38" s="327"/>
      <c r="B38" s="625"/>
      <c r="C38" s="628"/>
      <c r="D38" s="630"/>
      <c r="E38" s="50"/>
      <c r="F38" s="631"/>
      <c r="G38" s="50"/>
      <c r="H38" s="50"/>
      <c r="I38" s="50"/>
      <c r="J38" s="50"/>
      <c r="K38" s="50"/>
      <c r="L38" s="50"/>
      <c r="M38" s="50"/>
      <c r="N38" s="50"/>
      <c r="O38" s="50"/>
    </row>
    <row r="39" spans="1:15" s="580" customFormat="1" ht="26.4" customHeight="1" x14ac:dyDescent="0.25">
      <c r="A39" s="327"/>
      <c r="B39" s="625"/>
      <c r="C39" s="628"/>
      <c r="D39" s="630"/>
      <c r="E39" s="50"/>
      <c r="F39" s="631"/>
      <c r="G39" s="50"/>
      <c r="H39" s="50"/>
      <c r="I39" s="50"/>
      <c r="J39" s="50"/>
      <c r="K39" s="50"/>
      <c r="L39" s="50"/>
      <c r="M39" s="50"/>
      <c r="N39" s="50"/>
      <c r="O39" s="50"/>
    </row>
    <row r="40" spans="1:15" s="580" customFormat="1" ht="26.4" customHeight="1" x14ac:dyDescent="0.25">
      <c r="A40" s="327"/>
      <c r="B40" s="625"/>
      <c r="C40" s="628"/>
      <c r="D40" s="630"/>
      <c r="E40" s="50"/>
      <c r="F40" s="631"/>
      <c r="G40" s="50"/>
      <c r="H40" s="50"/>
      <c r="I40" s="50"/>
      <c r="J40" s="50"/>
      <c r="K40" s="50"/>
      <c r="L40" s="50"/>
      <c r="M40" s="50"/>
      <c r="N40" s="50"/>
      <c r="O40" s="50"/>
    </row>
    <row r="41" spans="1:15" s="580" customFormat="1" ht="26.4" customHeight="1" x14ac:dyDescent="0.25">
      <c r="A41" s="327"/>
      <c r="B41" s="625"/>
      <c r="C41" s="628"/>
      <c r="D41" s="630"/>
      <c r="E41" s="50"/>
      <c r="F41" s="631"/>
      <c r="G41" s="50"/>
      <c r="H41" s="50"/>
      <c r="I41" s="50"/>
      <c r="J41" s="50"/>
      <c r="K41" s="50"/>
      <c r="L41" s="50"/>
      <c r="M41" s="50"/>
      <c r="N41" s="50"/>
      <c r="O41" s="50"/>
    </row>
    <row r="42" spans="1:15" s="580" customFormat="1" ht="26.4" customHeight="1" x14ac:dyDescent="0.25">
      <c r="A42" s="327"/>
      <c r="B42" s="625"/>
      <c r="C42" s="628"/>
      <c r="D42" s="630"/>
      <c r="E42" s="50"/>
      <c r="F42" s="631"/>
      <c r="G42" s="50"/>
      <c r="H42" s="50"/>
      <c r="I42" s="50"/>
      <c r="J42" s="50"/>
      <c r="K42" s="50"/>
      <c r="L42" s="50"/>
      <c r="M42" s="50"/>
      <c r="N42" s="50"/>
      <c r="O42" s="50"/>
    </row>
    <row r="43" spans="1:15" s="580" customFormat="1" ht="26.4" customHeight="1" x14ac:dyDescent="0.25">
      <c r="A43" s="327"/>
      <c r="B43" s="625"/>
      <c r="C43" s="628"/>
      <c r="D43" s="630"/>
      <c r="E43" s="50"/>
      <c r="F43" s="631"/>
      <c r="G43" s="50"/>
      <c r="H43" s="50"/>
      <c r="I43" s="50"/>
      <c r="J43" s="50"/>
      <c r="K43" s="50"/>
      <c r="L43" s="50"/>
      <c r="M43" s="50"/>
      <c r="N43" s="50"/>
      <c r="O43" s="50"/>
    </row>
    <row r="44" spans="1:15" s="580" customFormat="1" ht="26.4" customHeight="1" x14ac:dyDescent="0.25">
      <c r="A44" s="327"/>
      <c r="B44" s="625"/>
      <c r="C44" s="628"/>
      <c r="D44" s="630"/>
      <c r="E44" s="50"/>
      <c r="F44" s="631"/>
      <c r="G44" s="50"/>
      <c r="H44" s="50"/>
      <c r="I44" s="50"/>
      <c r="J44" s="50"/>
      <c r="K44" s="50"/>
      <c r="L44" s="50"/>
      <c r="M44" s="50"/>
      <c r="N44" s="50"/>
      <c r="O44" s="50"/>
    </row>
    <row r="45" spans="1:15" s="580" customFormat="1" ht="26.4" customHeight="1" x14ac:dyDescent="0.25">
      <c r="A45" s="327"/>
      <c r="B45" s="625"/>
      <c r="C45" s="628"/>
      <c r="D45" s="630"/>
      <c r="E45" s="50"/>
      <c r="F45" s="631"/>
      <c r="G45" s="50"/>
      <c r="H45" s="50"/>
      <c r="I45" s="50"/>
      <c r="J45" s="50"/>
      <c r="K45" s="50"/>
      <c r="L45" s="50"/>
      <c r="M45" s="50"/>
      <c r="N45" s="50"/>
      <c r="O45" s="50"/>
    </row>
    <row r="46" spans="1:15" s="580" customFormat="1" ht="26.4" customHeight="1" x14ac:dyDescent="0.25">
      <c r="A46" s="327"/>
      <c r="B46" s="625"/>
      <c r="C46" s="628"/>
      <c r="D46" s="630"/>
      <c r="E46" s="50"/>
      <c r="F46" s="631"/>
      <c r="G46" s="50"/>
      <c r="H46" s="50"/>
      <c r="I46" s="50"/>
      <c r="J46" s="50"/>
      <c r="K46" s="50"/>
      <c r="L46" s="50"/>
      <c r="M46" s="50"/>
      <c r="N46" s="50"/>
      <c r="O46" s="50"/>
    </row>
    <row r="47" spans="1:15" s="580" customFormat="1" ht="26.4" customHeight="1" x14ac:dyDescent="0.25">
      <c r="A47" s="327"/>
      <c r="B47" s="625"/>
      <c r="C47" s="628"/>
      <c r="D47" s="630"/>
      <c r="E47" s="50"/>
      <c r="F47" s="631"/>
      <c r="G47" s="50"/>
      <c r="H47" s="50"/>
      <c r="I47" s="50"/>
      <c r="J47" s="50"/>
      <c r="K47" s="50"/>
      <c r="L47" s="50"/>
      <c r="M47" s="50"/>
      <c r="N47" s="50"/>
      <c r="O47" s="50"/>
    </row>
    <row r="48" spans="1:15" s="580" customFormat="1" ht="26.4" customHeight="1" x14ac:dyDescent="0.25">
      <c r="A48" s="327"/>
      <c r="B48" s="625"/>
      <c r="C48" s="628"/>
      <c r="D48" s="630"/>
      <c r="E48" s="50"/>
      <c r="F48" s="631"/>
      <c r="G48" s="50"/>
      <c r="H48" s="50"/>
      <c r="I48" s="50"/>
      <c r="J48" s="50"/>
      <c r="K48" s="50"/>
      <c r="L48" s="50"/>
      <c r="M48" s="50"/>
      <c r="N48" s="50"/>
      <c r="O48" s="50"/>
    </row>
    <row r="49" spans="1:15" s="580" customFormat="1" ht="26.4" customHeight="1" x14ac:dyDescent="0.25">
      <c r="A49" s="327"/>
      <c r="B49" s="625"/>
      <c r="C49" s="628"/>
      <c r="D49" s="630"/>
      <c r="E49" s="50"/>
      <c r="F49" s="631"/>
      <c r="G49" s="50"/>
      <c r="H49" s="50"/>
      <c r="I49" s="50"/>
      <c r="J49" s="50"/>
      <c r="K49" s="50"/>
      <c r="L49" s="50"/>
      <c r="M49" s="50"/>
      <c r="N49" s="50"/>
      <c r="O49" s="50"/>
    </row>
    <row r="50" spans="1:15" s="580" customFormat="1" ht="26.4" customHeight="1" x14ac:dyDescent="0.25">
      <c r="A50" s="327"/>
      <c r="B50" s="625"/>
      <c r="C50" s="628"/>
      <c r="D50" s="630"/>
      <c r="E50" s="50"/>
      <c r="F50" s="631"/>
      <c r="G50" s="50"/>
      <c r="H50" s="50"/>
      <c r="I50" s="50"/>
      <c r="J50" s="50"/>
      <c r="K50" s="50"/>
      <c r="L50" s="50"/>
      <c r="M50" s="50"/>
      <c r="N50" s="50"/>
      <c r="O50" s="50"/>
    </row>
    <row r="51" spans="1:15" s="580" customFormat="1" ht="26.4" customHeight="1" x14ac:dyDescent="0.25">
      <c r="A51" s="327"/>
      <c r="B51" s="625"/>
      <c r="C51" s="628"/>
      <c r="D51" s="630"/>
      <c r="E51" s="50"/>
      <c r="F51" s="631"/>
      <c r="G51" s="50"/>
      <c r="H51" s="50"/>
      <c r="I51" s="50"/>
      <c r="J51" s="50"/>
      <c r="K51" s="50"/>
      <c r="L51" s="50"/>
      <c r="M51" s="50"/>
      <c r="N51" s="50"/>
      <c r="O51" s="50"/>
    </row>
    <row r="52" spans="1:15" s="580" customFormat="1" ht="26.4" customHeight="1" x14ac:dyDescent="0.25">
      <c r="A52" s="327"/>
      <c r="B52" s="625"/>
      <c r="C52" s="628"/>
      <c r="D52" s="630"/>
      <c r="E52" s="50"/>
      <c r="F52" s="631"/>
      <c r="G52" s="50"/>
      <c r="H52" s="50"/>
      <c r="I52" s="50"/>
      <c r="J52" s="50"/>
      <c r="K52" s="50"/>
      <c r="L52" s="50"/>
      <c r="M52" s="50"/>
      <c r="N52" s="50"/>
      <c r="O52" s="50"/>
    </row>
    <row r="53" spans="1:15" s="580" customFormat="1" ht="26.4" customHeight="1" x14ac:dyDescent="0.25">
      <c r="A53" s="327"/>
      <c r="B53" s="625"/>
      <c r="C53" s="628"/>
      <c r="D53" s="630"/>
      <c r="E53" s="50"/>
      <c r="F53" s="631"/>
      <c r="G53" s="50"/>
      <c r="H53" s="50"/>
      <c r="I53" s="50"/>
      <c r="J53" s="50"/>
      <c r="K53" s="50"/>
      <c r="L53" s="50"/>
      <c r="M53" s="50"/>
      <c r="N53" s="50"/>
      <c r="O53" s="50"/>
    </row>
    <row r="54" spans="1:15" s="580" customFormat="1" ht="26.4" customHeight="1" x14ac:dyDescent="0.25">
      <c r="A54" s="327"/>
      <c r="B54" s="625"/>
      <c r="C54" s="628"/>
      <c r="D54" s="630"/>
      <c r="E54" s="50"/>
      <c r="F54" s="631"/>
      <c r="G54" s="50"/>
      <c r="H54" s="50"/>
      <c r="I54" s="50"/>
      <c r="J54" s="50"/>
      <c r="K54" s="50"/>
      <c r="L54" s="50"/>
      <c r="M54" s="50"/>
      <c r="N54" s="50"/>
      <c r="O54" s="50"/>
    </row>
    <row r="55" spans="1:15" s="580" customFormat="1" ht="26.4" customHeight="1" x14ac:dyDescent="0.25">
      <c r="A55" s="327"/>
      <c r="B55" s="625"/>
      <c r="C55" s="628"/>
      <c r="D55" s="630"/>
      <c r="E55" s="50"/>
      <c r="F55" s="631"/>
      <c r="G55" s="50"/>
      <c r="H55" s="50"/>
      <c r="I55" s="50"/>
      <c r="J55" s="50"/>
      <c r="K55" s="50"/>
      <c r="L55" s="50"/>
      <c r="M55" s="50"/>
      <c r="N55" s="50"/>
      <c r="O55" s="50"/>
    </row>
    <row r="56" spans="1:15" s="580" customFormat="1" ht="26.4" customHeight="1" x14ac:dyDescent="0.25">
      <c r="A56" s="327"/>
      <c r="B56" s="625"/>
      <c r="C56" s="628"/>
      <c r="D56" s="630"/>
      <c r="E56" s="50"/>
      <c r="F56" s="631"/>
      <c r="G56" s="50"/>
      <c r="H56" s="50"/>
      <c r="I56" s="50"/>
      <c r="J56" s="50"/>
      <c r="K56" s="50"/>
      <c r="L56" s="50"/>
      <c r="M56" s="50"/>
      <c r="N56" s="50"/>
      <c r="O56" s="50"/>
    </row>
    <row r="57" spans="1:15" s="580" customFormat="1" ht="26.4" customHeight="1" x14ac:dyDescent="0.25">
      <c r="A57" s="327"/>
      <c r="B57" s="625"/>
      <c r="C57" s="628"/>
      <c r="D57" s="630"/>
      <c r="E57" s="50"/>
      <c r="F57" s="631"/>
      <c r="G57" s="50"/>
      <c r="H57" s="50"/>
      <c r="I57" s="50"/>
      <c r="J57" s="50"/>
      <c r="K57" s="50"/>
      <c r="L57" s="50"/>
      <c r="M57" s="50"/>
      <c r="N57" s="50"/>
      <c r="O57" s="50"/>
    </row>
    <row r="58" spans="1:15" s="580" customFormat="1" ht="26.4" customHeight="1" x14ac:dyDescent="0.25">
      <c r="A58" s="327"/>
      <c r="B58" s="625"/>
      <c r="C58" s="628"/>
      <c r="D58" s="630"/>
      <c r="E58" s="50"/>
      <c r="F58" s="631"/>
      <c r="G58" s="50"/>
      <c r="H58" s="50"/>
      <c r="I58" s="50"/>
      <c r="J58" s="50"/>
      <c r="K58" s="50"/>
      <c r="L58" s="50"/>
      <c r="M58" s="50"/>
      <c r="N58" s="50"/>
      <c r="O58" s="50"/>
    </row>
    <row r="59" spans="1:15" s="580" customFormat="1" ht="26.4" customHeight="1" x14ac:dyDescent="0.25">
      <c r="A59" s="327"/>
      <c r="B59" s="625"/>
      <c r="C59" s="628"/>
      <c r="D59" s="630"/>
      <c r="E59" s="50"/>
      <c r="F59" s="631"/>
      <c r="G59" s="50"/>
      <c r="H59" s="50"/>
      <c r="I59" s="50"/>
      <c r="J59" s="50"/>
      <c r="K59" s="50"/>
      <c r="L59" s="50"/>
      <c r="M59" s="50"/>
      <c r="N59" s="50"/>
      <c r="O59" s="50"/>
    </row>
    <row r="60" spans="1:15" s="580" customFormat="1" ht="26.4" customHeight="1" x14ac:dyDescent="0.25">
      <c r="A60" s="327"/>
      <c r="B60" s="625"/>
      <c r="C60" s="628"/>
      <c r="D60" s="630"/>
      <c r="E60" s="50"/>
      <c r="F60" s="631"/>
      <c r="G60" s="50"/>
      <c r="H60" s="50"/>
      <c r="I60" s="50"/>
      <c r="J60" s="50"/>
      <c r="K60" s="50"/>
      <c r="L60" s="50"/>
      <c r="M60" s="50"/>
      <c r="N60" s="50"/>
      <c r="O60" s="50"/>
    </row>
    <row r="61" spans="1:15" s="580" customFormat="1" ht="26.4" customHeight="1" x14ac:dyDescent="0.25">
      <c r="A61" s="327"/>
      <c r="B61" s="625"/>
      <c r="C61" s="628"/>
      <c r="D61" s="630"/>
      <c r="E61" s="50"/>
      <c r="F61" s="631"/>
      <c r="G61" s="50"/>
      <c r="H61" s="50"/>
      <c r="I61" s="50"/>
      <c r="J61" s="50"/>
      <c r="K61" s="50"/>
      <c r="L61" s="50"/>
      <c r="M61" s="50"/>
      <c r="N61" s="50"/>
      <c r="O61" s="50"/>
    </row>
    <row r="62" spans="1:15" s="580" customFormat="1" ht="26.4" customHeight="1" x14ac:dyDescent="0.25">
      <c r="A62" s="327"/>
      <c r="B62" s="625"/>
      <c r="C62" s="628"/>
      <c r="D62" s="630"/>
      <c r="E62" s="50"/>
      <c r="F62" s="631"/>
      <c r="G62" s="50"/>
      <c r="H62" s="50"/>
      <c r="I62" s="50"/>
      <c r="J62" s="50"/>
      <c r="K62" s="50"/>
      <c r="L62" s="50"/>
      <c r="M62" s="50"/>
      <c r="N62" s="50"/>
      <c r="O62" s="50"/>
    </row>
    <row r="63" spans="1:15" s="580" customFormat="1" ht="26.4" customHeight="1" x14ac:dyDescent="0.25">
      <c r="A63" s="327"/>
      <c r="B63" s="625"/>
      <c r="C63" s="628"/>
      <c r="D63" s="630"/>
      <c r="E63" s="50"/>
      <c r="F63" s="631"/>
      <c r="G63" s="50"/>
      <c r="H63" s="50"/>
      <c r="I63" s="50"/>
      <c r="J63" s="50"/>
      <c r="K63" s="50"/>
      <c r="L63" s="50"/>
      <c r="M63" s="50"/>
      <c r="N63" s="50"/>
      <c r="O63" s="50"/>
    </row>
    <row r="64" spans="1:15" s="580" customFormat="1" ht="26.4" customHeight="1" x14ac:dyDescent="0.25">
      <c r="A64" s="327"/>
      <c r="B64" s="625"/>
      <c r="C64" s="628"/>
      <c r="D64" s="630"/>
      <c r="E64" s="50"/>
      <c r="F64" s="631"/>
      <c r="G64" s="50"/>
      <c r="H64" s="50"/>
      <c r="I64" s="50"/>
      <c r="J64" s="50"/>
      <c r="K64" s="50"/>
      <c r="L64" s="50"/>
      <c r="M64" s="50"/>
      <c r="N64" s="50"/>
      <c r="O64" s="50"/>
    </row>
    <row r="65" spans="1:15" s="580" customFormat="1" ht="26.4" customHeight="1" x14ac:dyDescent="0.25">
      <c r="A65" s="327"/>
      <c r="B65" s="625"/>
      <c r="C65" s="628"/>
      <c r="D65" s="630"/>
      <c r="E65" s="50"/>
      <c r="F65" s="631"/>
      <c r="G65" s="50"/>
      <c r="H65" s="50"/>
      <c r="I65" s="50"/>
      <c r="J65" s="50"/>
      <c r="K65" s="50"/>
      <c r="L65" s="50"/>
      <c r="M65" s="50"/>
      <c r="N65" s="50"/>
      <c r="O65" s="50"/>
    </row>
    <row r="66" spans="1:15" s="580" customFormat="1" ht="26.4" customHeight="1" x14ac:dyDescent="0.25">
      <c r="A66" s="327"/>
      <c r="B66" s="625"/>
      <c r="C66" s="628"/>
      <c r="D66" s="630"/>
      <c r="E66" s="50"/>
      <c r="F66" s="631"/>
      <c r="G66" s="50"/>
      <c r="H66" s="50"/>
      <c r="I66" s="50"/>
      <c r="J66" s="50"/>
      <c r="K66" s="50"/>
      <c r="L66" s="50"/>
      <c r="M66" s="50"/>
      <c r="N66" s="50"/>
      <c r="O66" s="50"/>
    </row>
    <row r="67" spans="1:15" s="580" customFormat="1" ht="26.4" customHeight="1" x14ac:dyDescent="0.25">
      <c r="A67" s="327"/>
      <c r="B67" s="625"/>
      <c r="C67" s="628"/>
      <c r="D67" s="630"/>
      <c r="E67" s="50"/>
      <c r="F67" s="631"/>
      <c r="G67" s="50"/>
      <c r="H67" s="50"/>
      <c r="I67" s="50"/>
      <c r="J67" s="50"/>
      <c r="K67" s="50"/>
      <c r="L67" s="50"/>
      <c r="M67" s="50"/>
      <c r="N67" s="50"/>
      <c r="O67" s="50"/>
    </row>
    <row r="68" spans="1:15" s="580" customFormat="1" ht="26.4" customHeight="1" x14ac:dyDescent="0.25">
      <c r="A68" s="327"/>
      <c r="B68" s="625"/>
      <c r="C68" s="628"/>
      <c r="D68" s="630"/>
      <c r="E68" s="50"/>
      <c r="F68" s="631"/>
      <c r="G68" s="50"/>
      <c r="H68" s="50"/>
      <c r="I68" s="50"/>
      <c r="J68" s="50"/>
      <c r="K68" s="50"/>
      <c r="L68" s="50"/>
      <c r="M68" s="50"/>
      <c r="N68" s="50"/>
      <c r="O68" s="50"/>
    </row>
    <row r="69" spans="1:15" s="580" customFormat="1" ht="26.4" customHeight="1" x14ac:dyDescent="0.25">
      <c r="A69" s="327"/>
      <c r="B69" s="625"/>
      <c r="C69" s="628"/>
      <c r="D69" s="630"/>
      <c r="E69" s="50"/>
      <c r="F69" s="631"/>
      <c r="G69" s="50"/>
      <c r="H69" s="50"/>
      <c r="I69" s="50"/>
      <c r="J69" s="50"/>
      <c r="K69" s="50"/>
      <c r="L69" s="50"/>
      <c r="M69" s="50"/>
      <c r="N69" s="50"/>
      <c r="O69" s="50"/>
    </row>
    <row r="70" spans="1:15" s="580" customFormat="1" ht="26.4" customHeight="1" x14ac:dyDescent="0.25">
      <c r="A70" s="327"/>
      <c r="B70" s="625"/>
      <c r="C70" s="628"/>
      <c r="D70" s="630"/>
      <c r="E70" s="50"/>
      <c r="F70" s="631"/>
      <c r="G70" s="50"/>
      <c r="H70" s="50"/>
      <c r="I70" s="50"/>
      <c r="J70" s="50"/>
      <c r="K70" s="50"/>
      <c r="L70" s="50"/>
      <c r="M70" s="50"/>
      <c r="N70" s="50"/>
      <c r="O70" s="50"/>
    </row>
    <row r="71" spans="1:15" s="580" customFormat="1" ht="26.4" customHeight="1" x14ac:dyDescent="0.25">
      <c r="A71" s="327"/>
      <c r="B71" s="625"/>
      <c r="C71" s="628"/>
      <c r="D71" s="630"/>
      <c r="E71" s="50"/>
      <c r="F71" s="631"/>
      <c r="G71" s="50"/>
      <c r="H71" s="50"/>
      <c r="I71" s="50"/>
      <c r="J71" s="50"/>
      <c r="K71" s="50"/>
      <c r="L71" s="50"/>
      <c r="M71" s="50"/>
      <c r="N71" s="50"/>
      <c r="O71" s="50"/>
    </row>
    <row r="72" spans="1:15" s="580" customFormat="1" ht="26.4" customHeight="1" x14ac:dyDescent="0.25">
      <c r="A72" s="327"/>
      <c r="B72" s="625"/>
      <c r="C72" s="628"/>
      <c r="D72" s="630"/>
      <c r="E72" s="50"/>
      <c r="F72" s="631"/>
      <c r="G72" s="50"/>
      <c r="H72" s="50"/>
      <c r="I72" s="50"/>
      <c r="J72" s="50"/>
      <c r="K72" s="50"/>
      <c r="L72" s="50"/>
      <c r="M72" s="50"/>
      <c r="N72" s="50"/>
      <c r="O72" s="50"/>
    </row>
    <row r="73" spans="1:15" s="580" customFormat="1" ht="26.4" customHeight="1" x14ac:dyDescent="0.25">
      <c r="A73" s="327"/>
      <c r="B73" s="625"/>
      <c r="C73" s="628"/>
      <c r="D73" s="630"/>
      <c r="E73" s="50"/>
      <c r="F73" s="631"/>
      <c r="G73" s="50"/>
      <c r="H73" s="50"/>
      <c r="I73" s="50"/>
      <c r="J73" s="50"/>
      <c r="K73" s="50"/>
      <c r="L73" s="50"/>
      <c r="M73" s="50"/>
      <c r="N73" s="50"/>
      <c r="O73" s="50"/>
    </row>
    <row r="74" spans="1:15" s="580" customFormat="1" ht="26.4" customHeight="1" x14ac:dyDescent="0.25">
      <c r="A74" s="327"/>
      <c r="B74" s="625"/>
      <c r="C74" s="628"/>
      <c r="D74" s="630"/>
      <c r="E74" s="50"/>
      <c r="F74" s="631"/>
      <c r="G74" s="50"/>
      <c r="H74" s="50"/>
      <c r="I74" s="50"/>
      <c r="J74" s="50"/>
      <c r="K74" s="50"/>
      <c r="L74" s="50"/>
      <c r="M74" s="50"/>
      <c r="N74" s="50"/>
      <c r="O74" s="50"/>
    </row>
    <row r="75" spans="1:15" s="580" customFormat="1" ht="26.4" customHeight="1" x14ac:dyDescent="0.25">
      <c r="A75" s="327"/>
      <c r="B75" s="625"/>
      <c r="C75" s="628"/>
      <c r="D75" s="630"/>
      <c r="E75" s="50"/>
      <c r="F75" s="631"/>
      <c r="G75" s="50"/>
      <c r="H75" s="50"/>
      <c r="I75" s="50"/>
      <c r="J75" s="50"/>
      <c r="K75" s="50"/>
      <c r="L75" s="50"/>
      <c r="M75" s="50"/>
      <c r="N75" s="50"/>
      <c r="O75" s="50"/>
    </row>
    <row r="76" spans="1:15" s="580" customFormat="1" ht="26.4" customHeight="1" x14ac:dyDescent="0.25">
      <c r="A76" s="327"/>
      <c r="B76" s="625"/>
      <c r="C76" s="628"/>
      <c r="D76" s="630"/>
      <c r="E76" s="50"/>
      <c r="F76" s="631"/>
      <c r="G76" s="50"/>
      <c r="H76" s="50"/>
      <c r="I76" s="50"/>
      <c r="J76" s="50"/>
      <c r="K76" s="50"/>
      <c r="L76" s="50"/>
      <c r="M76" s="50"/>
      <c r="N76" s="50"/>
      <c r="O76" s="50"/>
    </row>
    <row r="77" spans="1:15" s="580" customFormat="1" ht="26.4" customHeight="1" x14ac:dyDescent="0.25">
      <c r="A77" s="327"/>
      <c r="B77" s="625"/>
      <c r="C77" s="628"/>
      <c r="D77" s="630"/>
      <c r="E77" s="50"/>
      <c r="F77" s="631"/>
      <c r="G77" s="50"/>
      <c r="H77" s="50"/>
      <c r="I77" s="50"/>
      <c r="J77" s="50"/>
      <c r="K77" s="50"/>
      <c r="L77" s="50"/>
      <c r="M77" s="50"/>
      <c r="N77" s="50"/>
      <c r="O77" s="50"/>
    </row>
    <row r="78" spans="1:15" s="580" customFormat="1" ht="26.4" customHeight="1" x14ac:dyDescent="0.25">
      <c r="A78" s="327"/>
      <c r="B78" s="625"/>
      <c r="C78" s="628"/>
      <c r="D78" s="630"/>
      <c r="E78" s="50"/>
      <c r="F78" s="631"/>
      <c r="G78" s="50"/>
      <c r="H78" s="50"/>
      <c r="I78" s="50"/>
      <c r="J78" s="50"/>
      <c r="K78" s="50"/>
      <c r="L78" s="50"/>
      <c r="M78" s="50"/>
      <c r="N78" s="50"/>
      <c r="O78" s="50"/>
    </row>
    <row r="79" spans="1:15" s="580" customFormat="1" ht="26.4" customHeight="1" x14ac:dyDescent="0.25">
      <c r="A79" s="327"/>
      <c r="B79" s="625"/>
      <c r="C79" s="628"/>
      <c r="D79" s="630"/>
      <c r="E79" s="50"/>
      <c r="F79" s="631"/>
      <c r="G79" s="50"/>
      <c r="H79" s="50"/>
      <c r="I79" s="50"/>
      <c r="J79" s="50"/>
      <c r="K79" s="50"/>
      <c r="L79" s="50"/>
      <c r="M79" s="50"/>
      <c r="N79" s="50"/>
      <c r="O79" s="50"/>
    </row>
    <row r="80" spans="1:15" s="580" customFormat="1" ht="26.4" customHeight="1" x14ac:dyDescent="0.25">
      <c r="A80" s="327"/>
      <c r="B80" s="625"/>
      <c r="C80" s="628"/>
      <c r="D80" s="630"/>
      <c r="E80" s="50"/>
      <c r="F80" s="631"/>
      <c r="G80" s="50"/>
      <c r="H80" s="50"/>
      <c r="I80" s="50"/>
      <c r="J80" s="50"/>
      <c r="K80" s="50"/>
      <c r="L80" s="50"/>
      <c r="M80" s="50"/>
      <c r="N80" s="50"/>
      <c r="O80" s="50"/>
    </row>
    <row r="81" spans="1:15" s="580" customFormat="1" ht="26.4" customHeight="1" x14ac:dyDescent="0.25">
      <c r="A81" s="327"/>
      <c r="B81" s="625"/>
      <c r="C81" s="628"/>
      <c r="D81" s="630"/>
      <c r="E81" s="50"/>
      <c r="F81" s="631"/>
      <c r="G81" s="50"/>
      <c r="H81" s="50"/>
      <c r="I81" s="50"/>
      <c r="J81" s="50"/>
      <c r="K81" s="50"/>
      <c r="L81" s="50"/>
      <c r="M81" s="50"/>
      <c r="N81" s="50"/>
      <c r="O81" s="50"/>
    </row>
    <row r="82" spans="1:15" s="580" customFormat="1" ht="26.4" customHeight="1" x14ac:dyDescent="0.25">
      <c r="A82" s="327"/>
      <c r="B82" s="625"/>
      <c r="C82" s="628"/>
      <c r="D82" s="630"/>
      <c r="E82" s="50"/>
      <c r="F82" s="631"/>
      <c r="G82" s="50"/>
      <c r="H82" s="50"/>
      <c r="I82" s="50"/>
      <c r="J82" s="50"/>
      <c r="K82" s="50"/>
      <c r="L82" s="50"/>
      <c r="M82" s="50"/>
      <c r="N82" s="50"/>
      <c r="O82" s="50"/>
    </row>
    <row r="83" spans="1:15" s="580" customFormat="1" ht="26.4" customHeight="1" x14ac:dyDescent="0.25">
      <c r="A83" s="327"/>
      <c r="B83" s="625"/>
      <c r="C83" s="628"/>
      <c r="D83" s="630"/>
      <c r="E83" s="50"/>
      <c r="F83" s="631"/>
      <c r="G83" s="50"/>
      <c r="H83" s="50"/>
      <c r="I83" s="50"/>
      <c r="J83" s="50"/>
      <c r="K83" s="50"/>
      <c r="L83" s="50"/>
      <c r="M83" s="50"/>
      <c r="N83" s="50"/>
      <c r="O83" s="50"/>
    </row>
    <row r="84" spans="1:15" s="580" customFormat="1" ht="26.4" customHeight="1" x14ac:dyDescent="0.25">
      <c r="A84" s="327"/>
      <c r="B84" s="625"/>
      <c r="C84" s="628"/>
      <c r="D84" s="630"/>
      <c r="E84" s="50"/>
      <c r="F84" s="631"/>
      <c r="G84" s="50"/>
      <c r="H84" s="50"/>
      <c r="I84" s="50"/>
      <c r="J84" s="50"/>
      <c r="K84" s="50"/>
      <c r="L84" s="50"/>
      <c r="M84" s="50"/>
      <c r="N84" s="50"/>
      <c r="O84" s="50"/>
    </row>
    <row r="85" spans="1:15" s="580" customFormat="1" ht="26.4" customHeight="1" x14ac:dyDescent="0.25">
      <c r="A85" s="327"/>
      <c r="B85" s="625"/>
      <c r="C85" s="628"/>
      <c r="D85" s="630"/>
      <c r="E85" s="50"/>
      <c r="F85" s="631"/>
      <c r="G85" s="50"/>
      <c r="H85" s="50"/>
      <c r="I85" s="50"/>
      <c r="J85" s="50"/>
      <c r="K85" s="50"/>
      <c r="L85" s="50"/>
      <c r="M85" s="50"/>
      <c r="N85" s="50"/>
      <c r="O85" s="50"/>
    </row>
    <row r="86" spans="1:15" s="580" customFormat="1" ht="26.4" customHeight="1" x14ac:dyDescent="0.25">
      <c r="A86" s="327"/>
      <c r="B86" s="625"/>
      <c r="C86" s="628"/>
      <c r="D86" s="630"/>
      <c r="E86" s="50"/>
      <c r="F86" s="631"/>
      <c r="G86" s="50"/>
      <c r="H86" s="50"/>
      <c r="I86" s="50"/>
      <c r="J86" s="50"/>
      <c r="K86" s="50"/>
      <c r="L86" s="50"/>
      <c r="M86" s="50"/>
      <c r="N86" s="50"/>
      <c r="O86" s="50"/>
    </row>
    <row r="87" spans="1:15" s="580" customFormat="1" ht="26.4" customHeight="1" x14ac:dyDescent="0.25">
      <c r="A87" s="327"/>
      <c r="B87" s="625"/>
      <c r="C87" s="628"/>
      <c r="D87" s="630"/>
      <c r="E87" s="50"/>
      <c r="F87" s="631"/>
      <c r="G87" s="50"/>
      <c r="H87" s="50"/>
      <c r="I87" s="50"/>
      <c r="J87" s="50"/>
      <c r="K87" s="50"/>
      <c r="L87" s="50"/>
      <c r="M87" s="50"/>
      <c r="N87" s="50"/>
      <c r="O87" s="50"/>
    </row>
    <row r="88" spans="1:15" s="580" customFormat="1" ht="26.4" customHeight="1" x14ac:dyDescent="0.25">
      <c r="A88" s="327"/>
      <c r="B88" s="625"/>
      <c r="C88" s="628"/>
      <c r="D88" s="630"/>
      <c r="E88" s="50"/>
      <c r="F88" s="631"/>
      <c r="G88" s="50"/>
      <c r="H88" s="50"/>
      <c r="I88" s="50"/>
      <c r="J88" s="50"/>
      <c r="K88" s="50"/>
      <c r="L88" s="50"/>
      <c r="M88" s="50"/>
      <c r="N88" s="50"/>
      <c r="O88" s="50"/>
    </row>
    <row r="89" spans="1:15" s="580" customFormat="1" ht="26.4" customHeight="1" x14ac:dyDescent="0.25">
      <c r="A89" s="327"/>
      <c r="B89" s="625"/>
      <c r="C89" s="628"/>
      <c r="D89" s="630"/>
      <c r="E89" s="50"/>
      <c r="F89" s="631"/>
      <c r="G89" s="50"/>
      <c r="H89" s="50"/>
      <c r="I89" s="50"/>
      <c r="J89" s="50"/>
      <c r="K89" s="50"/>
      <c r="L89" s="50"/>
      <c r="M89" s="50"/>
      <c r="N89" s="50"/>
      <c r="O89" s="50"/>
    </row>
    <row r="90" spans="1:15" s="580" customFormat="1" ht="26.4" customHeight="1" x14ac:dyDescent="0.25">
      <c r="A90" s="327"/>
      <c r="B90" s="625"/>
      <c r="C90" s="628"/>
      <c r="D90" s="630"/>
      <c r="E90" s="50"/>
      <c r="F90" s="631"/>
      <c r="G90" s="50"/>
      <c r="H90" s="50"/>
      <c r="I90" s="50"/>
      <c r="J90" s="50"/>
      <c r="K90" s="50"/>
      <c r="L90" s="50"/>
      <c r="M90" s="50"/>
      <c r="N90" s="50"/>
      <c r="O90" s="50"/>
    </row>
    <row r="91" spans="1:15" s="580" customFormat="1" ht="26.4" customHeight="1" x14ac:dyDescent="0.25">
      <c r="A91" s="327"/>
      <c r="B91" s="625"/>
      <c r="C91" s="628"/>
      <c r="D91" s="630"/>
      <c r="E91" s="50"/>
      <c r="F91" s="631"/>
      <c r="G91" s="50"/>
      <c r="H91" s="50"/>
      <c r="I91" s="50"/>
      <c r="J91" s="50"/>
      <c r="K91" s="50"/>
      <c r="L91" s="50"/>
      <c r="M91" s="50"/>
      <c r="N91" s="50"/>
      <c r="O91" s="50"/>
    </row>
    <row r="92" spans="1:15" s="580" customFormat="1" ht="26.4" customHeight="1" x14ac:dyDescent="0.25">
      <c r="A92" s="327"/>
      <c r="B92" s="625"/>
      <c r="C92" s="628"/>
      <c r="D92" s="630"/>
      <c r="E92" s="50"/>
      <c r="F92" s="631"/>
      <c r="G92" s="50"/>
      <c r="H92" s="50"/>
      <c r="I92" s="50"/>
      <c r="J92" s="50"/>
      <c r="K92" s="50"/>
      <c r="L92" s="50"/>
      <c r="M92" s="50"/>
      <c r="N92" s="50"/>
      <c r="O92" s="50"/>
    </row>
    <row r="93" spans="1:15" s="580" customFormat="1" ht="26.4" customHeight="1" x14ac:dyDescent="0.25">
      <c r="A93" s="327"/>
      <c r="B93" s="625"/>
      <c r="C93" s="628"/>
      <c r="D93" s="630"/>
      <c r="E93" s="50"/>
      <c r="F93" s="631"/>
      <c r="G93" s="50"/>
      <c r="H93" s="50"/>
      <c r="I93" s="50"/>
      <c r="J93" s="50"/>
      <c r="K93" s="50"/>
      <c r="L93" s="50"/>
      <c r="M93" s="50"/>
      <c r="N93" s="50"/>
      <c r="O93" s="50"/>
    </row>
    <row r="94" spans="1:15" s="580" customFormat="1" ht="26.4" customHeight="1" x14ac:dyDescent="0.25">
      <c r="A94" s="327"/>
      <c r="B94" s="625"/>
      <c r="C94" s="628"/>
      <c r="D94" s="630"/>
      <c r="E94" s="50"/>
      <c r="F94" s="631"/>
      <c r="G94" s="50"/>
      <c r="H94" s="50"/>
      <c r="I94" s="50"/>
      <c r="J94" s="50"/>
      <c r="K94" s="50"/>
      <c r="L94" s="50"/>
      <c r="M94" s="50"/>
      <c r="N94" s="50"/>
      <c r="O94" s="50"/>
    </row>
    <row r="95" spans="1:15" s="580" customFormat="1" ht="26.4" customHeight="1" x14ac:dyDescent="0.25">
      <c r="A95" s="327"/>
      <c r="B95" s="625"/>
      <c r="C95" s="628"/>
      <c r="D95" s="630"/>
      <c r="E95" s="50"/>
      <c r="F95" s="631"/>
      <c r="G95" s="50"/>
      <c r="H95" s="50"/>
      <c r="I95" s="50"/>
      <c r="J95" s="50"/>
      <c r="K95" s="50"/>
      <c r="L95" s="50"/>
      <c r="M95" s="50"/>
      <c r="N95" s="50"/>
      <c r="O95" s="50"/>
    </row>
    <row r="96" spans="1:15" s="580" customFormat="1" ht="26.4" customHeight="1" x14ac:dyDescent="0.25">
      <c r="A96" s="327"/>
      <c r="B96" s="625"/>
      <c r="C96" s="628"/>
      <c r="D96" s="630"/>
      <c r="E96" s="50"/>
      <c r="F96" s="631"/>
      <c r="G96" s="50"/>
      <c r="H96" s="50"/>
      <c r="I96" s="50"/>
      <c r="J96" s="50"/>
      <c r="K96" s="50"/>
      <c r="L96" s="50"/>
      <c r="M96" s="50"/>
      <c r="N96" s="50"/>
      <c r="O96" s="50"/>
    </row>
    <row r="97" spans="1:15" s="580" customFormat="1" ht="26.4" customHeight="1" x14ac:dyDescent="0.25">
      <c r="A97" s="327"/>
      <c r="B97" s="625"/>
      <c r="C97" s="628"/>
      <c r="D97" s="630"/>
      <c r="E97" s="50"/>
      <c r="F97" s="631"/>
      <c r="G97" s="50"/>
      <c r="H97" s="50"/>
      <c r="I97" s="50"/>
      <c r="J97" s="50"/>
      <c r="K97" s="50"/>
      <c r="L97" s="50"/>
      <c r="M97" s="50"/>
      <c r="N97" s="50"/>
      <c r="O97" s="50"/>
    </row>
    <row r="98" spans="1:15" s="580" customFormat="1" ht="26.4" customHeight="1" x14ac:dyDescent="0.25">
      <c r="A98" s="327"/>
      <c r="B98" s="625"/>
      <c r="C98" s="628"/>
      <c r="D98" s="630"/>
      <c r="E98" s="50"/>
      <c r="F98" s="631"/>
      <c r="G98" s="50"/>
      <c r="H98" s="50"/>
      <c r="I98" s="50"/>
      <c r="J98" s="50"/>
      <c r="K98" s="50"/>
      <c r="L98" s="50"/>
      <c r="M98" s="50"/>
      <c r="N98" s="50"/>
      <c r="O98" s="50"/>
    </row>
    <row r="99" spans="1:15" s="580" customFormat="1" ht="26.4" customHeight="1" x14ac:dyDescent="0.25">
      <c r="A99" s="327"/>
      <c r="B99" s="625"/>
      <c r="C99" s="628"/>
      <c r="D99" s="630"/>
      <c r="E99" s="50"/>
      <c r="F99" s="631"/>
      <c r="G99" s="50"/>
      <c r="H99" s="50"/>
      <c r="I99" s="50"/>
      <c r="J99" s="50"/>
      <c r="K99" s="50"/>
      <c r="L99" s="50"/>
      <c r="M99" s="50"/>
      <c r="N99" s="50"/>
      <c r="O99" s="50"/>
    </row>
    <row r="100" spans="1:15" s="580" customFormat="1" ht="26.4" customHeight="1" x14ac:dyDescent="0.25">
      <c r="A100" s="327"/>
      <c r="B100" s="625"/>
      <c r="C100" s="628"/>
      <c r="D100" s="630"/>
      <c r="E100" s="50"/>
      <c r="F100" s="631"/>
      <c r="G100" s="50"/>
      <c r="H100" s="50"/>
      <c r="I100" s="50"/>
      <c r="J100" s="50"/>
      <c r="K100" s="50"/>
      <c r="L100" s="50"/>
      <c r="M100" s="50"/>
      <c r="N100" s="50"/>
      <c r="O100" s="50"/>
    </row>
    <row r="101" spans="1:15" s="580" customFormat="1" ht="26.4" customHeight="1" x14ac:dyDescent="0.25">
      <c r="A101" s="327"/>
      <c r="B101" s="625"/>
      <c r="C101" s="628"/>
      <c r="D101" s="630"/>
      <c r="E101" s="50"/>
      <c r="F101" s="631"/>
      <c r="G101" s="50"/>
      <c r="H101" s="50"/>
      <c r="I101" s="50"/>
      <c r="J101" s="50"/>
      <c r="K101" s="50"/>
      <c r="L101" s="50"/>
      <c r="M101" s="50"/>
      <c r="N101" s="50"/>
      <c r="O101" s="50"/>
    </row>
    <row r="102" spans="1:15" s="580" customFormat="1" ht="26.4" customHeight="1" x14ac:dyDescent="0.25">
      <c r="A102" s="327"/>
      <c r="B102" s="625"/>
      <c r="C102" s="628"/>
      <c r="D102" s="630"/>
      <c r="E102" s="50"/>
      <c r="F102" s="631"/>
      <c r="G102" s="50"/>
      <c r="H102" s="50"/>
      <c r="I102" s="50"/>
      <c r="J102" s="50"/>
      <c r="K102" s="50"/>
      <c r="L102" s="50"/>
      <c r="M102" s="50"/>
      <c r="N102" s="50"/>
      <c r="O102" s="50"/>
    </row>
    <row r="103" spans="1:15" s="580" customFormat="1" ht="26.4" customHeight="1" x14ac:dyDescent="0.25">
      <c r="A103" s="327"/>
      <c r="B103" s="625"/>
      <c r="C103" s="628"/>
      <c r="D103" s="630"/>
      <c r="E103" s="50"/>
      <c r="F103" s="631"/>
      <c r="G103" s="50"/>
      <c r="H103" s="50"/>
      <c r="I103" s="50"/>
      <c r="J103" s="50"/>
      <c r="K103" s="50"/>
      <c r="L103" s="50"/>
      <c r="M103" s="50"/>
      <c r="N103" s="50"/>
      <c r="O103" s="50"/>
    </row>
    <row r="104" spans="1:15" s="580" customFormat="1" ht="26.4" customHeight="1" x14ac:dyDescent="0.25">
      <c r="A104" s="327"/>
      <c r="B104" s="625"/>
      <c r="C104" s="628"/>
      <c r="D104" s="630"/>
      <c r="E104" s="50"/>
      <c r="F104" s="631"/>
      <c r="G104" s="50"/>
      <c r="H104" s="50"/>
      <c r="I104" s="50"/>
      <c r="J104" s="50"/>
      <c r="K104" s="50"/>
      <c r="L104" s="50"/>
      <c r="M104" s="50"/>
      <c r="N104" s="50"/>
      <c r="O104" s="50"/>
    </row>
    <row r="105" spans="1:15" s="580" customFormat="1" ht="26.4" customHeight="1" x14ac:dyDescent="0.25">
      <c r="A105" s="327"/>
      <c r="B105" s="625"/>
      <c r="C105" s="628"/>
      <c r="D105" s="630"/>
      <c r="E105" s="50"/>
      <c r="F105" s="631"/>
      <c r="G105" s="50"/>
      <c r="H105" s="50"/>
      <c r="I105" s="50"/>
      <c r="J105" s="50"/>
      <c r="K105" s="50"/>
      <c r="L105" s="50"/>
      <c r="M105" s="50"/>
      <c r="N105" s="50"/>
      <c r="O105" s="50"/>
    </row>
    <row r="106" spans="1:15" s="580" customFormat="1" ht="26.4" customHeight="1" x14ac:dyDescent="0.25">
      <c r="A106" s="327"/>
      <c r="B106" s="625"/>
      <c r="C106" s="628"/>
      <c r="D106" s="630"/>
      <c r="E106" s="50"/>
      <c r="F106" s="631"/>
      <c r="G106" s="50"/>
      <c r="H106" s="50"/>
      <c r="I106" s="50"/>
      <c r="J106" s="50"/>
      <c r="K106" s="50"/>
      <c r="L106" s="50"/>
      <c r="M106" s="50"/>
      <c r="N106" s="50"/>
      <c r="O106" s="50"/>
    </row>
    <row r="107" spans="1:15" s="580" customFormat="1" ht="26.4" customHeight="1" x14ac:dyDescent="0.25">
      <c r="A107" s="327"/>
      <c r="B107" s="625"/>
      <c r="C107" s="628"/>
      <c r="D107" s="630"/>
      <c r="E107" s="50"/>
      <c r="F107" s="631"/>
      <c r="G107" s="50"/>
      <c r="H107" s="50"/>
      <c r="I107" s="50"/>
      <c r="J107" s="50"/>
      <c r="K107" s="50"/>
      <c r="L107" s="50"/>
      <c r="M107" s="50"/>
      <c r="N107" s="50"/>
      <c r="O107" s="50"/>
    </row>
    <row r="108" spans="1:15" s="580" customFormat="1" ht="26.4" customHeight="1" x14ac:dyDescent="0.25">
      <c r="A108" s="327"/>
      <c r="B108" s="625"/>
      <c r="C108" s="628"/>
      <c r="D108" s="630"/>
      <c r="E108" s="50"/>
      <c r="F108" s="631"/>
      <c r="G108" s="50"/>
      <c r="H108" s="50"/>
      <c r="I108" s="50"/>
      <c r="J108" s="50"/>
      <c r="K108" s="50"/>
      <c r="L108" s="50"/>
      <c r="M108" s="50"/>
      <c r="N108" s="50"/>
      <c r="O108" s="50"/>
    </row>
    <row r="109" spans="1:15" s="580" customFormat="1" ht="26.4" customHeight="1" x14ac:dyDescent="0.25">
      <c r="A109" s="327"/>
      <c r="B109" s="625"/>
      <c r="C109" s="628"/>
      <c r="D109" s="630"/>
      <c r="E109" s="50"/>
      <c r="F109" s="631"/>
      <c r="G109" s="50"/>
      <c r="H109" s="50"/>
      <c r="I109" s="50"/>
      <c r="J109" s="50"/>
      <c r="K109" s="50"/>
      <c r="L109" s="50"/>
      <c r="M109" s="50"/>
      <c r="N109" s="50"/>
      <c r="O109" s="50"/>
    </row>
    <row r="110" spans="1:15" s="580" customFormat="1" ht="26.4" customHeight="1" x14ac:dyDescent="0.25">
      <c r="A110" s="327"/>
      <c r="B110" s="625"/>
      <c r="C110" s="628"/>
      <c r="D110" s="630"/>
      <c r="E110" s="50"/>
      <c r="F110" s="631"/>
      <c r="G110" s="50"/>
      <c r="H110" s="50"/>
      <c r="I110" s="50"/>
      <c r="J110" s="50"/>
      <c r="K110" s="50"/>
      <c r="L110" s="50"/>
      <c r="M110" s="50"/>
      <c r="N110" s="50"/>
      <c r="O110" s="50"/>
    </row>
    <row r="111" spans="1:15" s="580" customFormat="1" ht="26.4" customHeight="1" x14ac:dyDescent="0.25">
      <c r="A111" s="327"/>
      <c r="B111" s="625"/>
      <c r="C111" s="628"/>
      <c r="D111" s="630"/>
      <c r="E111" s="50"/>
      <c r="F111" s="631"/>
      <c r="G111" s="50"/>
      <c r="H111" s="50"/>
      <c r="I111" s="50"/>
      <c r="J111" s="50"/>
      <c r="K111" s="50"/>
      <c r="L111" s="50"/>
      <c r="M111" s="50"/>
      <c r="N111" s="50"/>
      <c r="O111" s="50"/>
    </row>
    <row r="112" spans="1:15" s="580" customFormat="1" ht="26.4" customHeight="1" x14ac:dyDescent="0.25">
      <c r="A112" s="327"/>
      <c r="B112" s="625"/>
      <c r="C112" s="628"/>
      <c r="D112" s="630"/>
      <c r="E112" s="50"/>
      <c r="F112" s="631"/>
      <c r="G112" s="50"/>
      <c r="H112" s="50"/>
      <c r="I112" s="50"/>
      <c r="J112" s="50"/>
      <c r="K112" s="50"/>
      <c r="L112" s="50"/>
      <c r="M112" s="50"/>
      <c r="N112" s="50"/>
      <c r="O112" s="50"/>
    </row>
    <row r="113" spans="1:15" s="580" customFormat="1" ht="26.4" customHeight="1" x14ac:dyDescent="0.25">
      <c r="A113" s="327"/>
      <c r="B113" s="625"/>
      <c r="C113" s="628"/>
      <c r="D113" s="630"/>
      <c r="E113" s="50"/>
      <c r="F113" s="631"/>
      <c r="G113" s="50"/>
      <c r="H113" s="50"/>
      <c r="I113" s="50"/>
      <c r="J113" s="50"/>
      <c r="K113" s="50"/>
      <c r="L113" s="50"/>
      <c r="M113" s="50"/>
      <c r="N113" s="50"/>
      <c r="O113" s="50"/>
    </row>
    <row r="114" spans="1:15" s="580" customFormat="1" ht="26.4" customHeight="1" x14ac:dyDescent="0.25">
      <c r="A114" s="327"/>
      <c r="B114" s="625"/>
      <c r="C114" s="628"/>
      <c r="D114" s="630"/>
      <c r="E114" s="50"/>
      <c r="F114" s="631"/>
      <c r="G114" s="50"/>
      <c r="H114" s="50"/>
      <c r="I114" s="50"/>
      <c r="J114" s="50"/>
      <c r="K114" s="50"/>
      <c r="L114" s="50"/>
      <c r="M114" s="50"/>
      <c r="N114" s="50"/>
      <c r="O114" s="50"/>
    </row>
    <row r="115" spans="1:15" s="580" customFormat="1" ht="26.4" customHeight="1" x14ac:dyDescent="0.25">
      <c r="A115" s="327"/>
      <c r="B115" s="625"/>
      <c r="C115" s="628"/>
      <c r="D115" s="630"/>
      <c r="E115" s="50"/>
      <c r="F115" s="631"/>
      <c r="G115" s="50"/>
      <c r="H115" s="50"/>
      <c r="I115" s="50"/>
      <c r="J115" s="50"/>
      <c r="K115" s="50"/>
      <c r="L115" s="50"/>
      <c r="M115" s="50"/>
      <c r="N115" s="50"/>
      <c r="O115" s="50"/>
    </row>
    <row r="116" spans="1:15" s="580" customFormat="1" ht="26.4" customHeight="1" x14ac:dyDescent="0.25">
      <c r="A116" s="327"/>
      <c r="B116" s="625"/>
      <c r="C116" s="628"/>
      <c r="D116" s="630"/>
      <c r="E116" s="50"/>
      <c r="F116" s="631"/>
      <c r="G116" s="50"/>
      <c r="H116" s="50"/>
      <c r="I116" s="50"/>
      <c r="J116" s="50"/>
      <c r="K116" s="50"/>
      <c r="L116" s="50"/>
      <c r="M116" s="50"/>
      <c r="N116" s="50"/>
      <c r="O116" s="50"/>
    </row>
    <row r="117" spans="1:15" ht="26.4" customHeight="1" x14ac:dyDescent="0.25">
      <c r="A117" s="627"/>
      <c r="B117" s="627"/>
      <c r="C117" s="628"/>
      <c r="D117" s="725"/>
      <c r="E117" s="50"/>
      <c r="F117" s="631"/>
      <c r="G117" s="50"/>
      <c r="H117" s="50"/>
      <c r="I117" s="50"/>
      <c r="J117" s="50"/>
      <c r="K117" s="50"/>
      <c r="L117" s="50"/>
      <c r="M117" s="50"/>
      <c r="N117" s="50"/>
      <c r="O117" s="50"/>
    </row>
    <row r="118" spans="1:15" ht="26.4" customHeight="1" x14ac:dyDescent="0.25">
      <c r="A118" s="327"/>
      <c r="B118" s="327"/>
      <c r="C118" s="628"/>
      <c r="D118" s="630"/>
      <c r="E118" s="630"/>
      <c r="F118" s="630"/>
      <c r="G118" s="50"/>
      <c r="H118" s="50"/>
      <c r="I118" s="50"/>
      <c r="J118" s="50"/>
      <c r="K118" s="50"/>
      <c r="L118" s="50"/>
      <c r="M118" s="50"/>
      <c r="N118" s="50"/>
      <c r="O118" s="50"/>
    </row>
    <row r="119" spans="1:15" ht="26.4" customHeight="1" x14ac:dyDescent="0.25">
      <c r="A119" s="327"/>
      <c r="B119" s="327"/>
      <c r="C119" s="628"/>
      <c r="D119" s="632"/>
      <c r="E119" s="630"/>
      <c r="F119" s="630"/>
      <c r="G119" s="50"/>
      <c r="H119" s="50"/>
      <c r="I119" s="50"/>
      <c r="J119" s="50"/>
      <c r="K119" s="50"/>
      <c r="L119" s="50"/>
      <c r="M119" s="50"/>
      <c r="N119" s="50"/>
      <c r="O119" s="50"/>
    </row>
    <row r="120" spans="1:15" ht="26.4" customHeight="1" x14ac:dyDescent="0.25">
      <c r="A120" s="327"/>
      <c r="B120" s="327"/>
      <c r="C120" s="628"/>
      <c r="D120" s="632"/>
      <c r="E120" s="630"/>
      <c r="F120" s="630"/>
      <c r="G120" s="50"/>
      <c r="H120" s="50"/>
      <c r="I120" s="50"/>
      <c r="J120" s="50"/>
      <c r="K120" s="50"/>
      <c r="L120" s="50"/>
      <c r="M120" s="50"/>
      <c r="N120" s="50"/>
      <c r="O120" s="50"/>
    </row>
    <row r="121" spans="1:15" ht="26.4" customHeight="1" x14ac:dyDescent="0.25">
      <c r="A121" s="327"/>
      <c r="B121" s="327"/>
      <c r="C121" s="628"/>
      <c r="D121" s="630"/>
      <c r="E121" s="630"/>
      <c r="F121" s="630"/>
      <c r="G121" s="50"/>
      <c r="H121" s="50"/>
      <c r="I121" s="50"/>
      <c r="J121" s="50"/>
      <c r="K121" s="50"/>
      <c r="L121" s="50"/>
      <c r="M121" s="50"/>
      <c r="N121" s="50"/>
      <c r="O121" s="50"/>
    </row>
    <row r="122" spans="1:15" ht="26.4" customHeight="1" x14ac:dyDescent="0.25">
      <c r="A122" s="327"/>
      <c r="B122" s="327"/>
      <c r="C122" s="643"/>
      <c r="D122" s="630"/>
      <c r="E122" s="630"/>
      <c r="F122" s="630"/>
      <c r="G122" s="50"/>
      <c r="H122" s="50"/>
      <c r="I122" s="50"/>
      <c r="J122" s="50"/>
      <c r="K122" s="50"/>
      <c r="L122" s="50"/>
      <c r="M122" s="50"/>
      <c r="N122" s="50"/>
      <c r="O122" s="50"/>
    </row>
    <row r="123" spans="1:15" ht="26.4" customHeight="1" x14ac:dyDescent="0.25">
      <c r="A123" s="327"/>
      <c r="B123" s="327"/>
      <c r="C123" s="643"/>
      <c r="D123" s="630"/>
      <c r="E123" s="630"/>
      <c r="F123" s="630"/>
      <c r="G123" s="50"/>
      <c r="H123" s="50"/>
      <c r="I123" s="50"/>
      <c r="J123" s="50"/>
      <c r="K123" s="50"/>
      <c r="L123" s="50"/>
      <c r="M123" s="50"/>
      <c r="N123" s="50"/>
      <c r="O123" s="50"/>
    </row>
    <row r="124" spans="1:15" ht="26.4" customHeight="1" x14ac:dyDescent="0.25">
      <c r="A124" s="327"/>
      <c r="B124" s="327"/>
      <c r="C124" s="643"/>
      <c r="D124" s="630"/>
      <c r="E124" s="630"/>
      <c r="F124" s="630"/>
      <c r="G124" s="50"/>
      <c r="H124" s="50"/>
      <c r="I124" s="50"/>
      <c r="J124" s="50"/>
      <c r="K124" s="50"/>
      <c r="L124" s="50"/>
      <c r="M124" s="50"/>
      <c r="N124" s="50"/>
      <c r="O124" s="50"/>
    </row>
    <row r="125" spans="1:15" ht="26.4" customHeight="1" x14ac:dyDescent="0.25">
      <c r="A125" s="327"/>
      <c r="B125" s="327"/>
      <c r="C125" s="643"/>
      <c r="D125" s="630"/>
      <c r="E125" s="630"/>
      <c r="F125" s="630"/>
      <c r="G125" s="50"/>
      <c r="H125" s="50"/>
      <c r="I125" s="50"/>
      <c r="J125" s="50"/>
      <c r="K125" s="50"/>
      <c r="L125" s="50"/>
      <c r="M125" s="50"/>
      <c r="N125" s="50"/>
      <c r="O125" s="50"/>
    </row>
    <row r="126" spans="1:15" ht="26.4" customHeight="1" x14ac:dyDescent="0.25">
      <c r="A126" s="327"/>
      <c r="B126" s="327"/>
      <c r="C126" s="643"/>
      <c r="D126" s="630"/>
      <c r="E126" s="630"/>
      <c r="F126" s="630"/>
      <c r="G126" s="50"/>
      <c r="H126" s="50"/>
      <c r="I126" s="50"/>
      <c r="J126" s="50"/>
      <c r="K126" s="50"/>
      <c r="L126" s="50"/>
      <c r="M126" s="50"/>
      <c r="N126" s="50"/>
      <c r="O126" s="50"/>
    </row>
    <row r="127" spans="1:15" ht="26.4" customHeight="1" x14ac:dyDescent="0.25">
      <c r="A127" s="327"/>
      <c r="B127" s="327"/>
      <c r="C127" s="643"/>
      <c r="D127" s="630"/>
      <c r="E127" s="630"/>
      <c r="F127" s="630"/>
      <c r="G127" s="50"/>
      <c r="H127" s="50"/>
      <c r="I127" s="50"/>
      <c r="J127" s="50"/>
      <c r="K127" s="50"/>
      <c r="L127" s="50"/>
      <c r="M127" s="50"/>
      <c r="N127" s="50"/>
      <c r="O127" s="50"/>
    </row>
    <row r="128" spans="1:15" ht="26.4" customHeight="1" x14ac:dyDescent="0.25">
      <c r="A128" s="327"/>
      <c r="B128" s="327"/>
      <c r="C128" s="643"/>
      <c r="D128" s="630"/>
      <c r="E128" s="630"/>
      <c r="F128" s="630"/>
      <c r="G128" s="50"/>
      <c r="H128" s="50"/>
      <c r="I128" s="50"/>
      <c r="J128" s="50"/>
      <c r="K128" s="50"/>
      <c r="L128" s="50"/>
      <c r="M128" s="50"/>
      <c r="N128" s="50"/>
      <c r="O128" s="50"/>
    </row>
    <row r="129" spans="1:15" ht="26.4" customHeight="1" x14ac:dyDescent="0.25">
      <c r="A129" s="327"/>
      <c r="B129" s="327"/>
      <c r="C129" s="643"/>
      <c r="D129" s="630"/>
      <c r="E129" s="630"/>
      <c r="F129" s="630"/>
      <c r="G129" s="50"/>
      <c r="H129" s="50"/>
      <c r="I129" s="50"/>
      <c r="J129" s="50"/>
      <c r="K129" s="50"/>
      <c r="L129" s="50"/>
      <c r="M129" s="50"/>
      <c r="N129" s="50"/>
      <c r="O129" s="50"/>
    </row>
    <row r="130" spans="1:15" ht="26.4" customHeight="1" x14ac:dyDescent="0.25">
      <c r="A130" s="327"/>
      <c r="B130" s="327"/>
      <c r="C130" s="643"/>
      <c r="D130" s="630"/>
      <c r="E130" s="630"/>
      <c r="F130" s="630"/>
      <c r="G130" s="50"/>
      <c r="H130" s="50"/>
      <c r="I130" s="50"/>
      <c r="J130" s="50"/>
      <c r="K130" s="50"/>
      <c r="L130" s="50"/>
      <c r="M130" s="50"/>
      <c r="N130" s="50"/>
      <c r="O130" s="50"/>
    </row>
    <row r="131" spans="1:15" ht="26.4" customHeight="1" x14ac:dyDescent="0.25">
      <c r="A131" s="327"/>
      <c r="B131" s="327"/>
      <c r="C131" s="643"/>
      <c r="D131" s="630"/>
      <c r="E131" s="630"/>
      <c r="F131" s="630"/>
      <c r="G131" s="50"/>
      <c r="H131" s="50"/>
      <c r="I131" s="50"/>
      <c r="J131" s="50"/>
      <c r="K131" s="50"/>
      <c r="L131" s="50"/>
      <c r="M131" s="50"/>
      <c r="N131" s="50"/>
      <c r="O131" s="50"/>
    </row>
    <row r="132" spans="1:15" ht="26.4" customHeight="1" x14ac:dyDescent="0.25">
      <c r="A132" s="327"/>
      <c r="B132" s="327"/>
      <c r="C132" s="643"/>
      <c r="D132" s="630"/>
      <c r="E132" s="630"/>
      <c r="F132" s="630"/>
      <c r="G132" s="50"/>
      <c r="H132" s="50"/>
      <c r="I132" s="50"/>
      <c r="J132" s="50"/>
      <c r="K132" s="50"/>
      <c r="L132" s="50"/>
      <c r="M132" s="50"/>
      <c r="N132" s="50"/>
      <c r="O132" s="50"/>
    </row>
    <row r="133" spans="1:15" ht="26.4" customHeight="1" x14ac:dyDescent="0.25">
      <c r="A133" s="327"/>
      <c r="B133" s="327"/>
      <c r="C133" s="643"/>
      <c r="D133" s="630"/>
      <c r="E133" s="630"/>
      <c r="F133" s="630"/>
      <c r="G133" s="50"/>
      <c r="H133" s="50"/>
      <c r="I133" s="50"/>
      <c r="J133" s="50"/>
      <c r="K133" s="50"/>
      <c r="L133" s="50"/>
      <c r="M133" s="50"/>
      <c r="N133" s="50"/>
      <c r="O133" s="50"/>
    </row>
    <row r="134" spans="1:15" ht="26.4" customHeight="1" x14ac:dyDescent="0.25">
      <c r="A134" s="327"/>
      <c r="B134" s="327"/>
      <c r="C134" s="643"/>
      <c r="D134" s="630"/>
      <c r="E134" s="630"/>
      <c r="F134" s="630"/>
      <c r="G134" s="50"/>
      <c r="H134" s="50"/>
      <c r="I134" s="50"/>
      <c r="J134" s="50"/>
      <c r="K134" s="50"/>
      <c r="L134" s="50"/>
      <c r="M134" s="50"/>
      <c r="N134" s="50"/>
      <c r="O134" s="50"/>
    </row>
    <row r="135" spans="1:15" ht="26.4" customHeight="1" x14ac:dyDescent="0.25">
      <c r="A135" s="327"/>
      <c r="B135" s="327"/>
      <c r="C135" s="643"/>
      <c r="D135" s="630"/>
      <c r="E135" s="630"/>
      <c r="F135" s="630"/>
      <c r="G135" s="50"/>
      <c r="H135" s="50"/>
      <c r="I135" s="50"/>
      <c r="J135" s="50"/>
      <c r="K135" s="50"/>
      <c r="L135" s="50"/>
      <c r="M135" s="50"/>
      <c r="N135" s="50"/>
      <c r="O135" s="50"/>
    </row>
    <row r="136" spans="1:15" ht="26.4" customHeight="1" x14ac:dyDescent="0.25">
      <c r="A136" s="327"/>
      <c r="B136" s="327"/>
      <c r="C136" s="643"/>
      <c r="D136" s="630"/>
      <c r="E136" s="630"/>
      <c r="F136" s="630"/>
      <c r="G136" s="50"/>
      <c r="H136" s="50"/>
      <c r="I136" s="50"/>
      <c r="J136" s="50"/>
      <c r="K136" s="50"/>
      <c r="L136" s="50"/>
      <c r="M136" s="50"/>
      <c r="N136" s="50"/>
      <c r="O136" s="50"/>
    </row>
    <row r="137" spans="1:15" ht="26.4" customHeight="1" x14ac:dyDescent="0.25">
      <c r="A137" s="327"/>
      <c r="B137" s="327"/>
      <c r="C137" s="643"/>
      <c r="D137" s="630"/>
      <c r="E137" s="630"/>
      <c r="F137" s="630"/>
      <c r="G137" s="50"/>
      <c r="H137" s="50"/>
      <c r="I137" s="50"/>
      <c r="J137" s="50"/>
      <c r="K137" s="50"/>
      <c r="L137" s="50"/>
      <c r="M137" s="50"/>
      <c r="N137" s="50"/>
      <c r="O137" s="50"/>
    </row>
    <row r="138" spans="1:15" ht="26.4" customHeight="1" x14ac:dyDescent="0.25">
      <c r="A138" s="327"/>
      <c r="B138" s="327"/>
      <c r="C138" s="643"/>
      <c r="D138" s="630"/>
      <c r="E138" s="630"/>
      <c r="F138" s="630"/>
      <c r="G138" s="50"/>
      <c r="H138" s="50"/>
      <c r="I138" s="50"/>
      <c r="J138" s="50"/>
      <c r="K138" s="50"/>
      <c r="L138" s="50"/>
      <c r="M138" s="50"/>
      <c r="N138" s="50"/>
      <c r="O138" s="50"/>
    </row>
    <row r="139" spans="1:15" ht="26.4" customHeight="1" x14ac:dyDescent="0.25">
      <c r="A139" s="327"/>
      <c r="B139" s="327"/>
      <c r="C139" s="643"/>
      <c r="D139" s="630"/>
      <c r="E139" s="630"/>
      <c r="F139" s="630"/>
      <c r="G139" s="50"/>
      <c r="H139" s="50"/>
      <c r="I139" s="50"/>
      <c r="J139" s="50"/>
      <c r="K139" s="50"/>
      <c r="L139" s="50"/>
      <c r="M139" s="50"/>
      <c r="N139" s="50"/>
      <c r="O139" s="50"/>
    </row>
    <row r="140" spans="1:15" ht="26.4" customHeight="1" x14ac:dyDescent="0.25">
      <c r="A140" s="327"/>
      <c r="B140" s="327"/>
      <c r="C140" s="643"/>
      <c r="D140" s="630"/>
      <c r="E140" s="630"/>
      <c r="F140" s="630"/>
      <c r="G140" s="50"/>
      <c r="H140" s="50"/>
      <c r="I140" s="50"/>
      <c r="J140" s="50"/>
      <c r="K140" s="50"/>
      <c r="L140" s="50"/>
      <c r="M140" s="50"/>
      <c r="N140" s="50"/>
      <c r="O140" s="50"/>
    </row>
    <row r="141" spans="1:15" ht="26.4" customHeight="1" x14ac:dyDescent="0.25">
      <c r="A141" s="327"/>
      <c r="B141" s="327"/>
      <c r="C141" s="643"/>
      <c r="D141" s="630"/>
      <c r="E141" s="630"/>
      <c r="F141" s="630"/>
      <c r="G141" s="50"/>
      <c r="H141" s="50"/>
      <c r="I141" s="50"/>
      <c r="J141" s="50"/>
      <c r="K141" s="50"/>
      <c r="L141" s="50"/>
      <c r="M141" s="50"/>
      <c r="N141" s="50"/>
      <c r="O141" s="50"/>
    </row>
    <row r="142" spans="1:15" ht="26.4" customHeight="1" x14ac:dyDescent="0.25">
      <c r="A142" s="327"/>
      <c r="B142" s="327"/>
      <c r="C142" s="643"/>
      <c r="D142" s="630"/>
      <c r="E142" s="630"/>
      <c r="F142" s="630"/>
      <c r="G142" s="50"/>
      <c r="H142" s="50"/>
      <c r="I142" s="50"/>
      <c r="J142" s="50"/>
      <c r="K142" s="50"/>
      <c r="L142" s="50"/>
      <c r="M142" s="50"/>
      <c r="N142" s="50"/>
      <c r="O142" s="50"/>
    </row>
    <row r="143" spans="1:15" ht="26.4" customHeight="1" x14ac:dyDescent="0.25">
      <c r="A143" s="327"/>
      <c r="B143" s="327"/>
      <c r="C143" s="643"/>
      <c r="D143" s="630"/>
      <c r="E143" s="630"/>
      <c r="F143" s="630"/>
      <c r="G143" s="50"/>
      <c r="H143" s="50"/>
      <c r="I143" s="50"/>
      <c r="J143" s="50"/>
      <c r="K143" s="50"/>
      <c r="L143" s="50"/>
      <c r="M143" s="50"/>
      <c r="N143" s="50"/>
      <c r="O143" s="50"/>
    </row>
    <row r="144" spans="1:15" ht="26.4" customHeight="1" thickBot="1" x14ac:dyDescent="0.3">
      <c r="A144" s="629"/>
      <c r="B144" s="629"/>
      <c r="C144" s="629"/>
      <c r="D144" s="726"/>
      <c r="E144" s="726"/>
      <c r="F144" s="726"/>
      <c r="G144" s="726"/>
      <c r="H144" s="726"/>
      <c r="I144" s="726"/>
      <c r="J144" s="726"/>
      <c r="K144" s="726"/>
      <c r="L144" s="726"/>
      <c r="M144" s="726"/>
      <c r="N144" s="726"/>
      <c r="O144" s="726"/>
    </row>
    <row r="145" spans="1:7" ht="15" customHeight="1" x14ac:dyDescent="0.25">
      <c r="A145" s="8"/>
      <c r="B145" s="8"/>
      <c r="C145" s="8"/>
    </row>
    <row r="146" spans="1:7" x14ac:dyDescent="0.25">
      <c r="A146" s="673" t="s">
        <v>826</v>
      </c>
      <c r="B146" s="673"/>
      <c r="C146" s="549"/>
      <c r="D146" s="549"/>
      <c r="E146" s="549"/>
      <c r="F146" s="549"/>
      <c r="G146" s="549"/>
    </row>
    <row r="147" spans="1:7" x14ac:dyDescent="0.25">
      <c r="A147" s="552"/>
      <c r="B147" s="552"/>
      <c r="C147" s="552"/>
    </row>
    <row r="148" spans="1:7" ht="69.75" customHeight="1" x14ac:dyDescent="0.25">
      <c r="A148" s="677" t="s">
        <v>145</v>
      </c>
      <c r="B148" s="677"/>
      <c r="C148" s="677"/>
      <c r="D148" s="677"/>
      <c r="E148" s="677"/>
      <c r="F148" s="677"/>
      <c r="G148" s="551"/>
    </row>
    <row r="149" spans="1:7" ht="12.75" customHeight="1" x14ac:dyDescent="0.25">
      <c r="A149" s="552"/>
      <c r="B149" s="552"/>
      <c r="C149" s="552"/>
    </row>
    <row r="150" spans="1:7" x14ac:dyDescent="0.25">
      <c r="A150" s="674" t="s">
        <v>93</v>
      </c>
      <c r="B150" s="674"/>
      <c r="C150" s="674"/>
      <c r="D150" s="674"/>
      <c r="E150" s="674"/>
      <c r="F150" s="674"/>
      <c r="G150" s="550"/>
    </row>
    <row r="151" spans="1:7" ht="30.75" customHeight="1" x14ac:dyDescent="0.25">
      <c r="A151" s="673" t="s">
        <v>94</v>
      </c>
      <c r="B151" s="673"/>
      <c r="C151" s="673"/>
      <c r="D151" s="673"/>
      <c r="E151" s="673"/>
      <c r="F151" s="673"/>
      <c r="G151" s="549"/>
    </row>
    <row r="152" spans="1:7" ht="32.25" customHeight="1" x14ac:dyDescent="0.25"/>
    <row r="153" spans="1:7" ht="32.25" customHeight="1" x14ac:dyDescent="0.25"/>
    <row r="154" spans="1:7" ht="29.55" customHeight="1" x14ac:dyDescent="0.25"/>
  </sheetData>
  <mergeCells count="9">
    <mergeCell ref="A151:F151"/>
    <mergeCell ref="A7:C8"/>
    <mergeCell ref="D7:I7"/>
    <mergeCell ref="J7:O7"/>
    <mergeCell ref="A3:D3"/>
    <mergeCell ref="A146:B146"/>
    <mergeCell ref="A148:F148"/>
    <mergeCell ref="A150:F150"/>
    <mergeCell ref="A5:O5"/>
  </mergeCells>
  <pageMargins left="0.7" right="0.7" top="0.75" bottom="0.75" header="0.3" footer="0.3"/>
  <pageSetup paperSize="9" scale="5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1"/>
  <sheetViews>
    <sheetView showGridLines="0" workbookViewId="0">
      <pane xSplit="30228" topLeftCell="Q1"/>
      <selection pane="topRight" activeCell="Q1" sqref="Q1"/>
    </sheetView>
  </sheetViews>
  <sheetFormatPr defaultColWidth="9" defaultRowHeight="13.2" x14ac:dyDescent="0.25"/>
  <cols>
    <col min="1" max="1" width="13.796875" style="580" customWidth="1"/>
    <col min="2" max="2" width="69.296875" style="580" customWidth="1"/>
    <col min="3" max="3" width="14.59765625" style="580" customWidth="1"/>
    <col min="4" max="8" width="9.09765625" style="580" customWidth="1"/>
    <col min="9" max="19" width="11.69921875" style="580" customWidth="1"/>
    <col min="20" max="20" width="14.59765625" style="580" customWidth="1"/>
    <col min="21" max="200" width="9" style="580" customWidth="1"/>
    <col min="201" max="201" width="1.19921875" style="580" customWidth="1"/>
    <col min="202" max="202" width="70.59765625" style="580" customWidth="1"/>
    <col min="203" max="207" width="10.59765625" style="580" customWidth="1"/>
    <col min="208" max="456" width="9" style="580" customWidth="1"/>
    <col min="457" max="457" width="1.19921875" style="580" customWidth="1"/>
    <col min="458" max="458" width="70.59765625" style="580" customWidth="1"/>
    <col min="459" max="463" width="10.59765625" style="580" customWidth="1"/>
    <col min="464" max="712" width="9" style="580" customWidth="1"/>
    <col min="713" max="713" width="1.19921875" style="580" customWidth="1"/>
    <col min="714" max="714" width="70.59765625" style="580" customWidth="1"/>
    <col min="715" max="719" width="10.59765625" style="580" customWidth="1"/>
    <col min="720" max="968" width="9" style="580" customWidth="1"/>
    <col min="969" max="969" width="1.19921875" style="580" customWidth="1"/>
    <col min="970" max="970" width="70.59765625" style="580" customWidth="1"/>
    <col min="971" max="975" width="10.59765625" style="580" customWidth="1"/>
    <col min="976" max="1224" width="9" style="580" customWidth="1"/>
    <col min="1225" max="1225" width="1.19921875" style="580" customWidth="1"/>
    <col min="1226" max="1226" width="70.59765625" style="580" customWidth="1"/>
    <col min="1227" max="1231" width="10.59765625" style="580" customWidth="1"/>
    <col min="1232" max="1480" width="9" style="580" customWidth="1"/>
    <col min="1481" max="1481" width="1.19921875" style="580" customWidth="1"/>
    <col min="1482" max="1482" width="70.59765625" style="580" customWidth="1"/>
    <col min="1483" max="1487" width="10.59765625" style="580" customWidth="1"/>
    <col min="1488" max="1736" width="9" style="580" customWidth="1"/>
    <col min="1737" max="1737" width="1.19921875" style="580" customWidth="1"/>
    <col min="1738" max="1738" width="70.59765625" style="580" customWidth="1"/>
    <col min="1739" max="1743" width="10.59765625" style="580" customWidth="1"/>
    <col min="1744" max="1992" width="9" style="580" customWidth="1"/>
    <col min="1993" max="1993" width="1.19921875" style="580" customWidth="1"/>
    <col min="1994" max="1994" width="70.59765625" style="580" customWidth="1"/>
    <col min="1995" max="1999" width="10.59765625" style="580" customWidth="1"/>
    <col min="2000" max="2248" width="9" style="580" customWidth="1"/>
    <col min="2249" max="2249" width="1.19921875" style="580" customWidth="1"/>
    <col min="2250" max="2250" width="70.59765625" style="580" customWidth="1"/>
    <col min="2251" max="2255" width="10.59765625" style="580" customWidth="1"/>
    <col min="2256" max="2504" width="9" style="580" customWidth="1"/>
    <col min="2505" max="2505" width="1.19921875" style="580" customWidth="1"/>
    <col min="2506" max="2506" width="70.59765625" style="580" customWidth="1"/>
    <col min="2507" max="2511" width="10.59765625" style="580" customWidth="1"/>
    <col min="2512" max="2760" width="9" style="580" customWidth="1"/>
    <col min="2761" max="2761" width="1.19921875" style="580" customWidth="1"/>
    <col min="2762" max="2762" width="70.59765625" style="580" customWidth="1"/>
    <col min="2763" max="2767" width="10.59765625" style="580" customWidth="1"/>
    <col min="2768" max="3016" width="9" style="580" customWidth="1"/>
    <col min="3017" max="3017" width="1.19921875" style="580" customWidth="1"/>
    <col min="3018" max="3018" width="70.59765625" style="580" customWidth="1"/>
    <col min="3019" max="3023" width="10.59765625" style="580" customWidth="1"/>
    <col min="3024" max="3272" width="9" style="580" customWidth="1"/>
    <col min="3273" max="3273" width="1.19921875" style="580" customWidth="1"/>
    <col min="3274" max="3274" width="70.59765625" style="580" customWidth="1"/>
    <col min="3275" max="3279" width="10.59765625" style="580" customWidth="1"/>
    <col min="3280" max="3528" width="9" style="580" customWidth="1"/>
    <col min="3529" max="3529" width="1.19921875" style="580" customWidth="1"/>
    <col min="3530" max="3530" width="70.59765625" style="580" customWidth="1"/>
    <col min="3531" max="3535" width="10.59765625" style="580" customWidth="1"/>
    <col min="3536" max="3784" width="9" style="580" customWidth="1"/>
    <col min="3785" max="3785" width="1.19921875" style="580" customWidth="1"/>
    <col min="3786" max="3786" width="70.59765625" style="580" customWidth="1"/>
    <col min="3787" max="3791" width="10.59765625" style="580" customWidth="1"/>
    <col min="3792" max="4040" width="9" style="580" customWidth="1"/>
    <col min="4041" max="4041" width="1.19921875" style="580" customWidth="1"/>
    <col min="4042" max="4042" width="70.59765625" style="580" customWidth="1"/>
    <col min="4043" max="4047" width="10.59765625" style="580" customWidth="1"/>
    <col min="4048" max="4296" width="9" style="580" customWidth="1"/>
    <col min="4297" max="4297" width="1.19921875" style="580" customWidth="1"/>
    <col min="4298" max="4298" width="70.59765625" style="580" customWidth="1"/>
    <col min="4299" max="4303" width="10.59765625" style="580" customWidth="1"/>
    <col min="4304" max="4552" width="9" style="580" customWidth="1"/>
    <col min="4553" max="4553" width="1.19921875" style="580" customWidth="1"/>
    <col min="4554" max="4554" width="70.59765625" style="580" customWidth="1"/>
    <col min="4555" max="4559" width="10.59765625" style="580" customWidth="1"/>
    <col min="4560" max="4808" width="9" style="580" customWidth="1"/>
    <col min="4809" max="4809" width="1.19921875" style="580" customWidth="1"/>
    <col min="4810" max="4810" width="70.59765625" style="580" customWidth="1"/>
    <col min="4811" max="4815" width="10.59765625" style="580" customWidth="1"/>
    <col min="4816" max="5064" width="9" style="580" customWidth="1"/>
    <col min="5065" max="5065" width="1.19921875" style="580" customWidth="1"/>
    <col min="5066" max="5066" width="70.59765625" style="580" customWidth="1"/>
    <col min="5067" max="5071" width="10.59765625" style="580" customWidth="1"/>
    <col min="5072" max="5320" width="9" style="580" customWidth="1"/>
    <col min="5321" max="5321" width="1.19921875" style="580" customWidth="1"/>
    <col min="5322" max="5322" width="70.59765625" style="580" customWidth="1"/>
    <col min="5323" max="5327" width="10.59765625" style="580" customWidth="1"/>
    <col min="5328" max="5576" width="9" style="580" customWidth="1"/>
    <col min="5577" max="5577" width="1.19921875" style="580" customWidth="1"/>
    <col min="5578" max="5578" width="70.59765625" style="580" customWidth="1"/>
    <col min="5579" max="5583" width="10.59765625" style="580" customWidth="1"/>
    <col min="5584" max="5832" width="9" style="580" customWidth="1"/>
    <col min="5833" max="5833" width="1.19921875" style="580" customWidth="1"/>
    <col min="5834" max="5834" width="70.59765625" style="580" customWidth="1"/>
    <col min="5835" max="5839" width="10.59765625" style="580" customWidth="1"/>
    <col min="5840" max="6088" width="9" style="580" customWidth="1"/>
    <col min="6089" max="6089" width="1.19921875" style="580" customWidth="1"/>
    <col min="6090" max="6090" width="70.59765625" style="580" customWidth="1"/>
    <col min="6091" max="6095" width="10.59765625" style="580" customWidth="1"/>
    <col min="6096" max="6344" width="9" style="580" customWidth="1"/>
    <col min="6345" max="6345" width="1.19921875" style="580" customWidth="1"/>
    <col min="6346" max="6346" width="70.59765625" style="580" customWidth="1"/>
    <col min="6347" max="6351" width="10.59765625" style="580" customWidth="1"/>
    <col min="6352" max="6600" width="9" style="580" customWidth="1"/>
    <col min="6601" max="6601" width="1.19921875" style="580" customWidth="1"/>
    <col min="6602" max="6602" width="70.59765625" style="580" customWidth="1"/>
    <col min="6603" max="6607" width="10.59765625" style="580" customWidth="1"/>
    <col min="6608" max="6856" width="9" style="580" customWidth="1"/>
    <col min="6857" max="6857" width="1.19921875" style="580" customWidth="1"/>
    <col min="6858" max="6858" width="70.59765625" style="580" customWidth="1"/>
    <col min="6859" max="6863" width="10.59765625" style="580" customWidth="1"/>
    <col min="6864" max="7112" width="9" style="580" customWidth="1"/>
    <col min="7113" max="7113" width="1.19921875" style="580" customWidth="1"/>
    <col min="7114" max="7114" width="70.59765625" style="580" customWidth="1"/>
    <col min="7115" max="7119" width="10.59765625" style="580" customWidth="1"/>
    <col min="7120" max="7368" width="9" style="580" customWidth="1"/>
    <col min="7369" max="7369" width="1.19921875" style="580" customWidth="1"/>
    <col min="7370" max="7370" width="70.59765625" style="580" customWidth="1"/>
    <col min="7371" max="7375" width="10.59765625" style="580" customWidth="1"/>
    <col min="7376" max="7624" width="9" style="580" customWidth="1"/>
    <col min="7625" max="7625" width="1.19921875" style="580" customWidth="1"/>
    <col min="7626" max="7626" width="70.59765625" style="580" customWidth="1"/>
    <col min="7627" max="7631" width="10.59765625" style="580" customWidth="1"/>
    <col min="7632" max="7880" width="9" style="580" customWidth="1"/>
    <col min="7881" max="7881" width="1.19921875" style="580" customWidth="1"/>
    <col min="7882" max="7882" width="70.59765625" style="580" customWidth="1"/>
    <col min="7883" max="7887" width="10.59765625" style="580" customWidth="1"/>
    <col min="7888" max="8136" width="9" style="580" customWidth="1"/>
    <col min="8137" max="8137" width="1.19921875" style="580" customWidth="1"/>
    <col min="8138" max="8138" width="70.59765625" style="580" customWidth="1"/>
    <col min="8139" max="8143" width="10.59765625" style="580" customWidth="1"/>
    <col min="8144" max="8392" width="9" style="580" customWidth="1"/>
    <col min="8393" max="8393" width="1.19921875" style="580" customWidth="1"/>
    <col min="8394" max="8394" width="70.59765625" style="580" customWidth="1"/>
    <col min="8395" max="8399" width="10.59765625" style="580" customWidth="1"/>
    <col min="8400" max="8648" width="9" style="580" customWidth="1"/>
    <col min="8649" max="8649" width="1.19921875" style="580" customWidth="1"/>
    <col min="8650" max="8650" width="70.59765625" style="580" customWidth="1"/>
    <col min="8651" max="8655" width="10.59765625" style="580" customWidth="1"/>
    <col min="8656" max="8904" width="9" style="580" customWidth="1"/>
    <col min="8905" max="8905" width="1.19921875" style="580" customWidth="1"/>
    <col min="8906" max="8906" width="70.59765625" style="580" customWidth="1"/>
    <col min="8907" max="8911" width="10.59765625" style="580" customWidth="1"/>
    <col min="8912" max="9160" width="9" style="580" customWidth="1"/>
    <col min="9161" max="9161" width="1.19921875" style="580" customWidth="1"/>
    <col min="9162" max="9162" width="70.59765625" style="580" customWidth="1"/>
    <col min="9163" max="9167" width="10.59765625" style="580" customWidth="1"/>
    <col min="9168" max="9416" width="9" style="580" customWidth="1"/>
    <col min="9417" max="9417" width="1.19921875" style="580" customWidth="1"/>
    <col min="9418" max="9418" width="70.59765625" style="580" customWidth="1"/>
    <col min="9419" max="9423" width="10.59765625" style="580" customWidth="1"/>
    <col min="9424" max="9672" width="9" style="580" customWidth="1"/>
    <col min="9673" max="9673" width="1.19921875" style="580" customWidth="1"/>
    <col min="9674" max="9674" width="70.59765625" style="580" customWidth="1"/>
    <col min="9675" max="9679" width="10.59765625" style="580" customWidth="1"/>
    <col min="9680" max="9928" width="9" style="580" customWidth="1"/>
    <col min="9929" max="9929" width="1.19921875" style="580" customWidth="1"/>
    <col min="9930" max="9930" width="70.59765625" style="580" customWidth="1"/>
    <col min="9931" max="9935" width="10.59765625" style="580" customWidth="1"/>
    <col min="9936" max="10184" width="9" style="580" customWidth="1"/>
    <col min="10185" max="10185" width="1.19921875" style="580" customWidth="1"/>
    <col min="10186" max="10186" width="70.59765625" style="580" customWidth="1"/>
    <col min="10187" max="10191" width="10.59765625" style="580" customWidth="1"/>
    <col min="10192" max="10440" width="9" style="580" customWidth="1"/>
    <col min="10441" max="10441" width="1.19921875" style="580" customWidth="1"/>
    <col min="10442" max="10442" width="70.59765625" style="580" customWidth="1"/>
    <col min="10443" max="10447" width="10.59765625" style="580" customWidth="1"/>
    <col min="10448" max="10696" width="9" style="580" customWidth="1"/>
    <col min="10697" max="10697" width="1.19921875" style="580" customWidth="1"/>
    <col min="10698" max="10698" width="70.59765625" style="580" customWidth="1"/>
    <col min="10699" max="10703" width="10.59765625" style="580" customWidth="1"/>
    <col min="10704" max="10952" width="9" style="580" customWidth="1"/>
    <col min="10953" max="10953" width="1.19921875" style="580" customWidth="1"/>
    <col min="10954" max="10954" width="70.59765625" style="580" customWidth="1"/>
    <col min="10955" max="10959" width="10.59765625" style="580" customWidth="1"/>
    <col min="10960" max="11208" width="9" style="580" customWidth="1"/>
    <col min="11209" max="11209" width="1.19921875" style="580" customWidth="1"/>
    <col min="11210" max="11210" width="70.59765625" style="580" customWidth="1"/>
    <col min="11211" max="11215" width="10.59765625" style="580" customWidth="1"/>
    <col min="11216" max="11464" width="9" style="580" customWidth="1"/>
    <col min="11465" max="11465" width="1.19921875" style="580" customWidth="1"/>
    <col min="11466" max="11466" width="70.59765625" style="580" customWidth="1"/>
    <col min="11467" max="11471" width="10.59765625" style="580" customWidth="1"/>
    <col min="11472" max="11720" width="9" style="580" customWidth="1"/>
    <col min="11721" max="11721" width="1.19921875" style="580" customWidth="1"/>
    <col min="11722" max="11722" width="70.59765625" style="580" customWidth="1"/>
    <col min="11723" max="11727" width="10.59765625" style="580" customWidth="1"/>
    <col min="11728" max="11976" width="9" style="580" customWidth="1"/>
    <col min="11977" max="11977" width="1.19921875" style="580" customWidth="1"/>
    <col min="11978" max="11978" width="70.59765625" style="580" customWidth="1"/>
    <col min="11979" max="11983" width="10.59765625" style="580" customWidth="1"/>
    <col min="11984" max="12232" width="9" style="580" customWidth="1"/>
    <col min="12233" max="12233" width="1.19921875" style="580" customWidth="1"/>
    <col min="12234" max="12234" width="70.59765625" style="580" customWidth="1"/>
    <col min="12235" max="12239" width="10.59765625" style="580" customWidth="1"/>
    <col min="12240" max="12488" width="9" style="580" customWidth="1"/>
    <col min="12489" max="12489" width="1.19921875" style="580" customWidth="1"/>
    <col min="12490" max="12490" width="70.59765625" style="580" customWidth="1"/>
    <col min="12491" max="12495" width="10.59765625" style="580" customWidth="1"/>
    <col min="12496" max="12744" width="9" style="580" customWidth="1"/>
    <col min="12745" max="12745" width="1.19921875" style="580" customWidth="1"/>
    <col min="12746" max="12746" width="70.59765625" style="580" customWidth="1"/>
    <col min="12747" max="12751" width="10.59765625" style="580" customWidth="1"/>
    <col min="12752" max="13000" width="9" style="580" customWidth="1"/>
    <col min="13001" max="13001" width="1.19921875" style="580" customWidth="1"/>
    <col min="13002" max="13002" width="70.59765625" style="580" customWidth="1"/>
    <col min="13003" max="13007" width="10.59765625" style="580" customWidth="1"/>
    <col min="13008" max="13256" width="9" style="580" customWidth="1"/>
    <col min="13257" max="13257" width="1.19921875" style="580" customWidth="1"/>
    <col min="13258" max="13258" width="70.59765625" style="580" customWidth="1"/>
    <col min="13259" max="13263" width="10.59765625" style="580" customWidth="1"/>
    <col min="13264" max="13512" width="9" style="580" customWidth="1"/>
    <col min="13513" max="13513" width="1.19921875" style="580" customWidth="1"/>
    <col min="13514" max="13514" width="70.59765625" style="580" customWidth="1"/>
    <col min="13515" max="13519" width="10.59765625" style="580" customWidth="1"/>
    <col min="13520" max="13768" width="9" style="580" customWidth="1"/>
    <col min="13769" max="13769" width="1.19921875" style="580" customWidth="1"/>
    <col min="13770" max="13770" width="70.59765625" style="580" customWidth="1"/>
    <col min="13771" max="13775" width="10.59765625" style="580" customWidth="1"/>
    <col min="13776" max="14024" width="9" style="580" customWidth="1"/>
    <col min="14025" max="14025" width="1.19921875" style="580" customWidth="1"/>
    <col min="14026" max="14026" width="70.59765625" style="580" customWidth="1"/>
    <col min="14027" max="14031" width="10.59765625" style="580" customWidth="1"/>
    <col min="14032" max="14280" width="9" style="580" customWidth="1"/>
    <col min="14281" max="14281" width="1.19921875" style="580" customWidth="1"/>
    <col min="14282" max="14282" width="70.59765625" style="580" customWidth="1"/>
    <col min="14283" max="14287" width="10.59765625" style="580" customWidth="1"/>
    <col min="14288" max="14536" width="9" style="580" customWidth="1"/>
    <col min="14537" max="14537" width="1.19921875" style="580" customWidth="1"/>
    <col min="14538" max="14538" width="70.59765625" style="580" customWidth="1"/>
    <col min="14539" max="14543" width="10.59765625" style="580" customWidth="1"/>
    <col min="14544" max="14792" width="9" style="580" customWidth="1"/>
    <col min="14793" max="14793" width="1.19921875" style="580" customWidth="1"/>
    <col min="14794" max="14794" width="70.59765625" style="580" customWidth="1"/>
    <col min="14795" max="14799" width="10.59765625" style="580" customWidth="1"/>
    <col min="14800" max="15048" width="9" style="580" customWidth="1"/>
    <col min="15049" max="15049" width="1.19921875" style="580" customWidth="1"/>
    <col min="15050" max="15050" width="70.59765625" style="580" customWidth="1"/>
    <col min="15051" max="15055" width="10.59765625" style="580" customWidth="1"/>
    <col min="15056" max="15304" width="9" style="580" customWidth="1"/>
    <col min="15305" max="15305" width="1.19921875" style="580" customWidth="1"/>
    <col min="15306" max="15306" width="70.59765625" style="580" customWidth="1"/>
    <col min="15307" max="15311" width="10.59765625" style="580" customWidth="1"/>
    <col min="15312" max="15560" width="9" style="580" customWidth="1"/>
    <col min="15561" max="15561" width="1.19921875" style="580" customWidth="1"/>
    <col min="15562" max="15562" width="70.59765625" style="580" customWidth="1"/>
    <col min="15563" max="15567" width="10.59765625" style="580" customWidth="1"/>
    <col min="15568" max="16383" width="9" style="580" customWidth="1"/>
    <col min="16384" max="16384" width="9" style="580"/>
  </cols>
  <sheetData>
    <row r="1" spans="1:21" ht="13.8" customHeight="1" x14ac:dyDescent="0.25">
      <c r="A1" s="583" t="s">
        <v>1019</v>
      </c>
      <c r="B1" s="576"/>
      <c r="C1" s="576"/>
      <c r="D1" s="576"/>
      <c r="E1" s="576"/>
      <c r="F1" s="576"/>
    </row>
    <row r="2" spans="1:21" x14ac:dyDescent="0.25">
      <c r="A2" s="576"/>
      <c r="B2" s="576"/>
      <c r="C2" s="576"/>
      <c r="D2" s="576"/>
      <c r="E2" s="576"/>
      <c r="F2" s="576"/>
    </row>
    <row r="3" spans="1:21" ht="30" customHeight="1" x14ac:dyDescent="0.25">
      <c r="A3" s="679" t="s">
        <v>1020</v>
      </c>
      <c r="B3" s="679"/>
      <c r="C3" s="679"/>
      <c r="D3" s="679"/>
      <c r="E3" s="679"/>
      <c r="F3" s="679"/>
      <c r="G3" s="679"/>
      <c r="H3" s="679"/>
      <c r="I3" s="679"/>
      <c r="J3" s="679"/>
      <c r="K3" s="679"/>
      <c r="L3" s="679"/>
      <c r="M3" s="679"/>
      <c r="N3" s="679"/>
      <c r="O3" s="679"/>
      <c r="P3" s="679"/>
    </row>
    <row r="4" spans="1:21" ht="154.05000000000001" customHeight="1" x14ac:dyDescent="0.25">
      <c r="A4" s="673" t="s">
        <v>993</v>
      </c>
      <c r="B4" s="673"/>
      <c r="C4" s="673"/>
      <c r="D4" s="673"/>
      <c r="E4" s="673"/>
      <c r="F4" s="673"/>
      <c r="G4" s="673"/>
      <c r="H4" s="673"/>
      <c r="I4" s="673"/>
      <c r="J4" s="673"/>
      <c r="K4" s="673"/>
      <c r="L4" s="673"/>
      <c r="M4" s="673"/>
      <c r="N4" s="673"/>
      <c r="O4" s="673"/>
    </row>
    <row r="5" spans="1:21" ht="13.8" customHeight="1" thickBot="1" x14ac:dyDescent="0.3">
      <c r="A5" s="590"/>
      <c r="B5" s="590"/>
      <c r="C5" s="590"/>
      <c r="D5" s="590"/>
      <c r="E5" s="590"/>
      <c r="F5" s="590"/>
      <c r="G5" s="590"/>
      <c r="H5" s="590"/>
      <c r="I5" s="590"/>
      <c r="J5" s="590"/>
      <c r="K5" s="590"/>
      <c r="L5" s="590"/>
      <c r="M5" s="590"/>
      <c r="N5" s="590"/>
      <c r="O5" s="590"/>
      <c r="P5" s="590"/>
      <c r="Q5" s="590"/>
      <c r="R5" s="590"/>
      <c r="S5" s="590"/>
      <c r="T5" s="556"/>
    </row>
    <row r="6" spans="1:21" ht="42" customHeight="1" x14ac:dyDescent="0.25">
      <c r="A6" s="685" t="s">
        <v>142</v>
      </c>
      <c r="B6" s="685"/>
      <c r="C6" s="686"/>
      <c r="D6" s="694" t="s">
        <v>116</v>
      </c>
      <c r="E6" s="694"/>
      <c r="F6" s="694"/>
      <c r="G6" s="694"/>
      <c r="H6" s="693"/>
      <c r="I6" s="695" t="s">
        <v>1021</v>
      </c>
      <c r="J6" s="694"/>
      <c r="K6" s="694"/>
      <c r="L6" s="694"/>
      <c r="M6" s="694"/>
      <c r="N6" s="694"/>
      <c r="O6" s="694"/>
      <c r="P6" s="694"/>
      <c r="Q6" s="694"/>
      <c r="R6" s="694"/>
      <c r="S6" s="579"/>
      <c r="T6" s="577"/>
    </row>
    <row r="7" spans="1:21" ht="42" customHeight="1" thickBot="1" x14ac:dyDescent="0.3">
      <c r="A7" s="688"/>
      <c r="B7" s="688"/>
      <c r="C7" s="689"/>
      <c r="D7" s="571" t="s">
        <v>117</v>
      </c>
      <c r="E7" s="574" t="s">
        <v>122</v>
      </c>
      <c r="F7" s="574" t="s">
        <v>147</v>
      </c>
      <c r="G7" s="574" t="s">
        <v>148</v>
      </c>
      <c r="H7" s="573" t="s">
        <v>149</v>
      </c>
      <c r="I7" s="571" t="s">
        <v>160</v>
      </c>
      <c r="J7" s="574" t="s">
        <v>161</v>
      </c>
      <c r="K7" s="571" t="s">
        <v>162</v>
      </c>
      <c r="L7" s="574" t="s">
        <v>163</v>
      </c>
      <c r="M7" s="574" t="s">
        <v>164</v>
      </c>
      <c r="N7" s="571" t="s">
        <v>165</v>
      </c>
      <c r="O7" s="574" t="s">
        <v>166</v>
      </c>
      <c r="P7" s="574" t="s">
        <v>167</v>
      </c>
      <c r="Q7" s="574" t="s">
        <v>168</v>
      </c>
      <c r="R7" s="571" t="s">
        <v>169</v>
      </c>
      <c r="S7" s="574" t="s">
        <v>170</v>
      </c>
      <c r="T7" s="578"/>
      <c r="U7" s="556"/>
    </row>
    <row r="8" spans="1:21" ht="13.8" customHeight="1" x14ac:dyDescent="0.25">
      <c r="A8" s="597"/>
      <c r="B8" s="597"/>
      <c r="C8" s="597"/>
      <c r="D8" s="556"/>
      <c r="F8" s="556"/>
      <c r="G8" s="556"/>
    </row>
    <row r="9" spans="1:21" ht="15" customHeight="1" x14ac:dyDescent="0.25">
      <c r="A9" s="582"/>
      <c r="B9" s="581"/>
      <c r="C9" s="581"/>
      <c r="D9" s="575"/>
      <c r="E9" s="593"/>
      <c r="F9" s="592"/>
    </row>
    <row r="10" spans="1:21" ht="24" customHeight="1" x14ac:dyDescent="0.25">
      <c r="A10" s="568" t="s">
        <v>144</v>
      </c>
      <c r="B10" s="555"/>
      <c r="C10" s="724" t="s">
        <v>95</v>
      </c>
      <c r="D10" s="633" t="s">
        <v>1024</v>
      </c>
      <c r="E10" s="53"/>
      <c r="F10" s="634"/>
      <c r="G10" s="53"/>
      <c r="H10" s="53"/>
      <c r="I10" s="53" t="s">
        <v>1025</v>
      </c>
      <c r="J10" s="53"/>
      <c r="K10" s="53"/>
      <c r="L10" s="53"/>
      <c r="M10" s="53"/>
      <c r="N10" s="53"/>
      <c r="O10" s="53"/>
      <c r="P10" s="53"/>
      <c r="Q10" s="53"/>
      <c r="R10" s="53"/>
      <c r="S10" s="53"/>
    </row>
    <row r="11" spans="1:21" ht="24" customHeight="1" x14ac:dyDescent="0.25">
      <c r="A11" s="599"/>
      <c r="B11" s="581"/>
      <c r="C11" s="724" t="s">
        <v>1022</v>
      </c>
      <c r="D11" s="633"/>
      <c r="E11" s="53"/>
      <c r="F11" s="634"/>
      <c r="G11" s="53"/>
      <c r="H11" s="53"/>
      <c r="I11" s="53"/>
      <c r="J11" s="53"/>
      <c r="K11" s="53"/>
      <c r="L11" s="53"/>
      <c r="M11" s="53"/>
      <c r="N11" s="53"/>
      <c r="O11" s="53"/>
      <c r="P11" s="53"/>
      <c r="Q11" s="53"/>
      <c r="R11" s="53"/>
      <c r="S11" s="53"/>
    </row>
    <row r="12" spans="1:21" ht="24" customHeight="1" x14ac:dyDescent="0.25">
      <c r="A12" s="599"/>
      <c r="B12" s="555"/>
      <c r="C12" s="724" t="s">
        <v>97</v>
      </c>
      <c r="D12" s="636"/>
      <c r="E12" s="102"/>
      <c r="F12" s="637"/>
      <c r="G12" s="102"/>
      <c r="H12" s="102"/>
      <c r="I12" s="102"/>
      <c r="J12" s="102"/>
      <c r="K12" s="102"/>
      <c r="L12" s="102"/>
      <c r="M12" s="102"/>
      <c r="N12" s="102"/>
      <c r="O12" s="102"/>
      <c r="P12" s="102"/>
      <c r="Q12" s="102"/>
      <c r="R12" s="102"/>
      <c r="S12" s="102"/>
    </row>
    <row r="13" spans="1:21" ht="15" customHeight="1" x14ac:dyDescent="0.25">
      <c r="A13" s="581" t="s">
        <v>992</v>
      </c>
      <c r="B13" s="600"/>
      <c r="C13" s="727"/>
      <c r="D13" s="584"/>
      <c r="E13" s="584"/>
      <c r="F13" s="601"/>
      <c r="G13" s="601"/>
      <c r="H13" s="601"/>
      <c r="I13" s="601"/>
      <c r="J13" s="601"/>
      <c r="K13" s="601"/>
      <c r="L13" s="601"/>
      <c r="M13" s="601"/>
      <c r="N13" s="601"/>
      <c r="O13" s="601"/>
      <c r="P13" s="601"/>
      <c r="Q13" s="601"/>
      <c r="R13" s="601"/>
      <c r="S13" s="601"/>
    </row>
    <row r="14" spans="1:21" ht="26.4" customHeight="1" x14ac:dyDescent="0.25">
      <c r="A14" s="327" t="s">
        <v>1026</v>
      </c>
      <c r="B14" s="625"/>
      <c r="C14" s="638"/>
      <c r="D14" s="640"/>
      <c r="E14" s="47"/>
      <c r="F14" s="641"/>
      <c r="G14" s="635"/>
      <c r="H14" s="635"/>
      <c r="I14" s="635"/>
      <c r="J14" s="635"/>
      <c r="K14" s="635"/>
      <c r="L14" s="635"/>
      <c r="M14" s="635"/>
      <c r="N14" s="635"/>
      <c r="O14" s="635"/>
      <c r="P14" s="635"/>
      <c r="Q14" s="635"/>
      <c r="R14" s="635"/>
      <c r="S14" s="635"/>
    </row>
    <row r="15" spans="1:21" ht="26.4" customHeight="1" x14ac:dyDescent="0.25">
      <c r="A15" s="627"/>
      <c r="B15" s="627"/>
      <c r="C15" s="638"/>
      <c r="D15" s="47"/>
      <c r="E15" s="635"/>
      <c r="F15" s="641"/>
      <c r="G15" s="635"/>
      <c r="H15" s="635"/>
      <c r="I15" s="635"/>
      <c r="J15" s="635"/>
      <c r="K15" s="635"/>
      <c r="L15" s="635"/>
      <c r="M15" s="635"/>
      <c r="N15" s="635"/>
      <c r="O15" s="635"/>
      <c r="P15" s="635"/>
      <c r="Q15" s="635"/>
      <c r="R15" s="635"/>
      <c r="S15" s="635"/>
    </row>
    <row r="16" spans="1:21" ht="26.4" customHeight="1" x14ac:dyDescent="0.25">
      <c r="A16" s="327"/>
      <c r="B16" s="327"/>
      <c r="C16" s="638"/>
      <c r="D16" s="640"/>
      <c r="E16" s="642"/>
      <c r="F16" s="642"/>
      <c r="G16" s="635"/>
      <c r="H16" s="635"/>
      <c r="I16" s="635"/>
      <c r="J16" s="635"/>
      <c r="K16" s="635"/>
      <c r="L16" s="635"/>
      <c r="M16" s="635"/>
      <c r="N16" s="635"/>
      <c r="O16" s="635"/>
      <c r="P16" s="635"/>
      <c r="Q16" s="635"/>
      <c r="R16" s="635"/>
      <c r="S16" s="635"/>
    </row>
    <row r="17" spans="1:19" ht="26.4" customHeight="1" x14ac:dyDescent="0.25">
      <c r="A17" s="327"/>
      <c r="B17" s="327"/>
      <c r="C17" s="638"/>
      <c r="D17" s="640"/>
      <c r="E17" s="642"/>
      <c r="F17" s="642"/>
      <c r="G17" s="635"/>
      <c r="H17" s="635"/>
      <c r="I17" s="635"/>
      <c r="J17" s="635"/>
      <c r="K17" s="635"/>
      <c r="L17" s="635"/>
      <c r="M17" s="635"/>
      <c r="N17" s="635"/>
      <c r="O17" s="635"/>
      <c r="P17" s="635"/>
      <c r="Q17" s="635"/>
      <c r="R17" s="635"/>
      <c r="S17" s="635"/>
    </row>
    <row r="18" spans="1:19" ht="26.4" customHeight="1" x14ac:dyDescent="0.25">
      <c r="A18" s="327"/>
      <c r="B18" s="327"/>
      <c r="C18" s="638"/>
      <c r="D18" s="640"/>
      <c r="E18" s="642"/>
      <c r="F18" s="642"/>
      <c r="G18" s="635"/>
      <c r="H18" s="635"/>
      <c r="I18" s="635"/>
      <c r="J18" s="635"/>
      <c r="K18" s="635"/>
      <c r="L18" s="635"/>
      <c r="M18" s="635"/>
      <c r="N18" s="635"/>
      <c r="O18" s="635"/>
      <c r="P18" s="635"/>
      <c r="Q18" s="635"/>
      <c r="R18" s="635"/>
      <c r="S18" s="635"/>
    </row>
    <row r="19" spans="1:19" ht="26.4" customHeight="1" x14ac:dyDescent="0.25">
      <c r="A19" s="327"/>
      <c r="B19" s="327"/>
      <c r="C19" s="638"/>
      <c r="D19" s="640"/>
      <c r="E19" s="642"/>
      <c r="F19" s="642"/>
      <c r="G19" s="635"/>
      <c r="H19" s="635"/>
      <c r="I19" s="635"/>
      <c r="J19" s="635"/>
      <c r="K19" s="635"/>
      <c r="L19" s="635"/>
      <c r="M19" s="635"/>
      <c r="N19" s="635"/>
      <c r="O19" s="635"/>
      <c r="P19" s="635"/>
      <c r="Q19" s="635"/>
      <c r="R19" s="635"/>
      <c r="S19" s="635"/>
    </row>
    <row r="20" spans="1:19" ht="26.4" customHeight="1" x14ac:dyDescent="0.25">
      <c r="A20" s="327"/>
      <c r="B20" s="327"/>
      <c r="C20" s="643"/>
      <c r="D20" s="642"/>
      <c r="E20" s="642"/>
      <c r="F20" s="642"/>
      <c r="G20" s="635"/>
      <c r="H20" s="635"/>
      <c r="I20" s="635"/>
      <c r="J20" s="635"/>
      <c r="K20" s="635"/>
      <c r="L20" s="635"/>
      <c r="M20" s="635"/>
      <c r="N20" s="635"/>
      <c r="O20" s="635"/>
      <c r="P20" s="635"/>
      <c r="Q20" s="635"/>
      <c r="R20" s="635"/>
      <c r="S20" s="635"/>
    </row>
    <row r="21" spans="1:19" ht="26.4" customHeight="1" x14ac:dyDescent="0.25">
      <c r="A21" s="327"/>
      <c r="B21" s="327"/>
      <c r="C21" s="643"/>
      <c r="D21" s="642"/>
      <c r="E21" s="642"/>
      <c r="F21" s="642"/>
      <c r="G21" s="635"/>
      <c r="H21" s="635"/>
      <c r="I21" s="635"/>
      <c r="J21" s="635"/>
      <c r="K21" s="635"/>
      <c r="L21" s="635"/>
      <c r="M21" s="635"/>
      <c r="N21" s="635"/>
      <c r="O21" s="635"/>
      <c r="P21" s="635"/>
      <c r="Q21" s="635"/>
      <c r="R21" s="635"/>
      <c r="S21" s="635"/>
    </row>
    <row r="22" spans="1:19" ht="26.4" customHeight="1" x14ac:dyDescent="0.25">
      <c r="A22" s="327"/>
      <c r="B22" s="327"/>
      <c r="C22" s="643"/>
      <c r="D22" s="642"/>
      <c r="E22" s="642"/>
      <c r="F22" s="642"/>
      <c r="G22" s="635"/>
      <c r="H22" s="635"/>
      <c r="I22" s="635"/>
      <c r="J22" s="635"/>
      <c r="K22" s="635"/>
      <c r="L22" s="635"/>
      <c r="M22" s="635"/>
      <c r="N22" s="635"/>
      <c r="O22" s="635"/>
      <c r="P22" s="635"/>
      <c r="Q22" s="635"/>
      <c r="R22" s="635"/>
      <c r="S22" s="635"/>
    </row>
    <row r="23" spans="1:19" ht="26.4" customHeight="1" x14ac:dyDescent="0.25">
      <c r="A23" s="327"/>
      <c r="B23" s="327"/>
      <c r="C23" s="643"/>
      <c r="D23" s="642"/>
      <c r="E23" s="642"/>
      <c r="F23" s="642"/>
      <c r="G23" s="635"/>
      <c r="H23" s="635"/>
      <c r="I23" s="635"/>
      <c r="J23" s="635"/>
      <c r="K23" s="635"/>
      <c r="L23" s="635"/>
      <c r="M23" s="635"/>
      <c r="N23" s="635"/>
      <c r="O23" s="635"/>
      <c r="P23" s="635"/>
      <c r="Q23" s="635"/>
      <c r="R23" s="635"/>
      <c r="S23" s="635"/>
    </row>
    <row r="24" spans="1:19" ht="26.4" customHeight="1" x14ac:dyDescent="0.25">
      <c r="A24" s="327"/>
      <c r="B24" s="327"/>
      <c r="C24" s="643"/>
      <c r="D24" s="642"/>
      <c r="E24" s="642"/>
      <c r="F24" s="642"/>
      <c r="G24" s="635"/>
      <c r="H24" s="635"/>
      <c r="I24" s="635"/>
      <c r="J24" s="635"/>
      <c r="K24" s="635"/>
      <c r="L24" s="635"/>
      <c r="M24" s="635"/>
      <c r="N24" s="635"/>
      <c r="O24" s="635"/>
      <c r="P24" s="635"/>
      <c r="Q24" s="635"/>
      <c r="R24" s="635"/>
      <c r="S24" s="635"/>
    </row>
    <row r="25" spans="1:19" ht="26.4" customHeight="1" x14ac:dyDescent="0.25">
      <c r="A25" s="327"/>
      <c r="B25" s="327"/>
      <c r="C25" s="643"/>
      <c r="D25" s="642"/>
      <c r="E25" s="642"/>
      <c r="F25" s="642"/>
      <c r="G25" s="635"/>
      <c r="H25" s="635"/>
      <c r="I25" s="635"/>
      <c r="J25" s="635"/>
      <c r="K25" s="635"/>
      <c r="L25" s="635"/>
      <c r="M25" s="635"/>
      <c r="N25" s="635"/>
      <c r="O25" s="635"/>
      <c r="P25" s="635"/>
      <c r="Q25" s="635"/>
      <c r="R25" s="635"/>
      <c r="S25" s="635"/>
    </row>
    <row r="26" spans="1:19" ht="26.4" customHeight="1" x14ac:dyDescent="0.25">
      <c r="A26" s="327"/>
      <c r="B26" s="327"/>
      <c r="C26" s="643"/>
      <c r="D26" s="642"/>
      <c r="E26" s="642"/>
      <c r="F26" s="642"/>
      <c r="G26" s="635"/>
      <c r="H26" s="635"/>
      <c r="I26" s="635"/>
      <c r="J26" s="635"/>
      <c r="K26" s="635"/>
      <c r="L26" s="635"/>
      <c r="M26" s="635"/>
      <c r="N26" s="635"/>
      <c r="O26" s="635"/>
      <c r="P26" s="635"/>
      <c r="Q26" s="635"/>
      <c r="R26" s="635"/>
      <c r="S26" s="635"/>
    </row>
    <row r="27" spans="1:19" ht="26.4" customHeight="1" x14ac:dyDescent="0.25">
      <c r="A27" s="327"/>
      <c r="B27" s="327"/>
      <c r="C27" s="643"/>
      <c r="D27" s="642"/>
      <c r="E27" s="642"/>
      <c r="F27" s="642"/>
      <c r="G27" s="635"/>
      <c r="H27" s="635"/>
      <c r="I27" s="635"/>
      <c r="J27" s="635"/>
      <c r="K27" s="635"/>
      <c r="L27" s="635"/>
      <c r="M27" s="635"/>
      <c r="N27" s="635"/>
      <c r="O27" s="635"/>
      <c r="P27" s="635"/>
      <c r="Q27" s="635"/>
      <c r="R27" s="635"/>
      <c r="S27" s="635"/>
    </row>
    <row r="28" spans="1:19" ht="26.4" customHeight="1" x14ac:dyDescent="0.25">
      <c r="A28" s="327"/>
      <c r="B28" s="327"/>
      <c r="C28" s="643"/>
      <c r="D28" s="642"/>
      <c r="E28" s="642"/>
      <c r="F28" s="642"/>
      <c r="G28" s="635"/>
      <c r="H28" s="635"/>
      <c r="I28" s="635"/>
      <c r="J28" s="635"/>
      <c r="K28" s="635"/>
      <c r="L28" s="635"/>
      <c r="M28" s="635"/>
      <c r="N28" s="635"/>
      <c r="O28" s="635"/>
      <c r="P28" s="635"/>
      <c r="Q28" s="635"/>
      <c r="R28" s="635"/>
      <c r="S28" s="635"/>
    </row>
    <row r="29" spans="1:19" ht="26.4" customHeight="1" x14ac:dyDescent="0.25">
      <c r="A29" s="327"/>
      <c r="B29" s="327"/>
      <c r="C29" s="643"/>
      <c r="D29" s="642"/>
      <c r="E29" s="642"/>
      <c r="F29" s="642"/>
      <c r="G29" s="635"/>
      <c r="H29" s="635"/>
      <c r="I29" s="635"/>
      <c r="J29" s="635"/>
      <c r="K29" s="635"/>
      <c r="L29" s="635"/>
      <c r="M29" s="635"/>
      <c r="N29" s="635"/>
      <c r="O29" s="635"/>
      <c r="P29" s="635"/>
      <c r="Q29" s="635"/>
      <c r="R29" s="635"/>
      <c r="S29" s="635"/>
    </row>
    <row r="30" spans="1:19" ht="26.4" customHeight="1" x14ac:dyDescent="0.25">
      <c r="A30" s="327"/>
      <c r="B30" s="327"/>
      <c r="C30" s="643"/>
      <c r="D30" s="642"/>
      <c r="E30" s="642"/>
      <c r="F30" s="642"/>
      <c r="G30" s="635"/>
      <c r="H30" s="635"/>
      <c r="I30" s="635"/>
      <c r="J30" s="635"/>
      <c r="K30" s="635"/>
      <c r="L30" s="635"/>
      <c r="M30" s="635"/>
      <c r="N30" s="635"/>
      <c r="O30" s="635"/>
      <c r="P30" s="635"/>
      <c r="Q30" s="635"/>
      <c r="R30" s="635"/>
      <c r="S30" s="635"/>
    </row>
    <row r="31" spans="1:19" ht="26.4" customHeight="1" x14ac:dyDescent="0.25">
      <c r="A31" s="327"/>
      <c r="B31" s="327"/>
      <c r="C31" s="643"/>
      <c r="D31" s="642"/>
      <c r="E31" s="642"/>
      <c r="F31" s="642"/>
      <c r="G31" s="635"/>
      <c r="H31" s="635"/>
      <c r="I31" s="635"/>
      <c r="J31" s="635"/>
      <c r="K31" s="635"/>
      <c r="L31" s="635"/>
      <c r="M31" s="635"/>
      <c r="N31" s="635"/>
      <c r="O31" s="635"/>
      <c r="P31" s="635"/>
      <c r="Q31" s="635"/>
      <c r="R31" s="635"/>
      <c r="S31" s="635"/>
    </row>
    <row r="32" spans="1:19" ht="26.4" customHeight="1" x14ac:dyDescent="0.25">
      <c r="A32" s="327"/>
      <c r="B32" s="327"/>
      <c r="C32" s="643"/>
      <c r="D32" s="642"/>
      <c r="E32" s="642"/>
      <c r="F32" s="642"/>
      <c r="G32" s="635"/>
      <c r="H32" s="635"/>
      <c r="I32" s="635"/>
      <c r="J32" s="635"/>
      <c r="K32" s="635"/>
      <c r="L32" s="635"/>
      <c r="M32" s="635"/>
      <c r="N32" s="635"/>
      <c r="O32" s="635"/>
      <c r="P32" s="635"/>
      <c r="Q32" s="635"/>
      <c r="R32" s="635"/>
      <c r="S32" s="635"/>
    </row>
    <row r="33" spans="1:19" ht="26.4" customHeight="1" x14ac:dyDescent="0.25">
      <c r="A33" s="327"/>
      <c r="B33" s="327"/>
      <c r="C33" s="643"/>
      <c r="D33" s="642"/>
      <c r="E33" s="642"/>
      <c r="F33" s="642"/>
      <c r="G33" s="635"/>
      <c r="H33" s="635"/>
      <c r="I33" s="635"/>
      <c r="J33" s="635"/>
      <c r="K33" s="635"/>
      <c r="L33" s="635"/>
      <c r="M33" s="635"/>
      <c r="N33" s="635"/>
      <c r="O33" s="635"/>
      <c r="P33" s="635"/>
      <c r="Q33" s="635"/>
      <c r="R33" s="635"/>
      <c r="S33" s="635"/>
    </row>
    <row r="34" spans="1:19" ht="26.4" customHeight="1" x14ac:dyDescent="0.25">
      <c r="A34" s="327"/>
      <c r="B34" s="327"/>
      <c r="C34" s="643"/>
      <c r="D34" s="642"/>
      <c r="E34" s="642"/>
      <c r="F34" s="642"/>
      <c r="G34" s="635"/>
      <c r="H34" s="635"/>
      <c r="I34" s="635"/>
      <c r="J34" s="635"/>
      <c r="K34" s="635"/>
      <c r="L34" s="635"/>
      <c r="M34" s="635"/>
      <c r="N34" s="635"/>
      <c r="O34" s="635"/>
      <c r="P34" s="635"/>
      <c r="Q34" s="635"/>
      <c r="R34" s="635"/>
      <c r="S34" s="635"/>
    </row>
    <row r="35" spans="1:19" ht="26.4" customHeight="1" x14ac:dyDescent="0.25">
      <c r="A35" s="327"/>
      <c r="B35" s="327"/>
      <c r="C35" s="643"/>
      <c r="D35" s="642"/>
      <c r="E35" s="642"/>
      <c r="F35" s="642"/>
      <c r="G35" s="635"/>
      <c r="H35" s="635"/>
      <c r="I35" s="635"/>
      <c r="J35" s="635"/>
      <c r="K35" s="635"/>
      <c r="L35" s="635"/>
      <c r="M35" s="635"/>
      <c r="N35" s="635"/>
      <c r="O35" s="635"/>
      <c r="P35" s="635"/>
      <c r="Q35" s="635"/>
      <c r="R35" s="635"/>
      <c r="S35" s="635"/>
    </row>
    <row r="36" spans="1:19" ht="26.4" customHeight="1" x14ac:dyDescent="0.25">
      <c r="A36" s="327"/>
      <c r="B36" s="327"/>
      <c r="C36" s="643"/>
      <c r="D36" s="642"/>
      <c r="E36" s="642"/>
      <c r="F36" s="642"/>
      <c r="G36" s="635"/>
      <c r="H36" s="635"/>
      <c r="I36" s="635"/>
      <c r="J36" s="635"/>
      <c r="K36" s="635"/>
      <c r="L36" s="635"/>
      <c r="M36" s="635"/>
      <c r="N36" s="635"/>
      <c r="O36" s="635"/>
      <c r="P36" s="635"/>
      <c r="Q36" s="635"/>
      <c r="R36" s="635"/>
      <c r="S36" s="635"/>
    </row>
    <row r="37" spans="1:19" ht="26.4" customHeight="1" x14ac:dyDescent="0.25">
      <c r="A37" s="327"/>
      <c r="B37" s="327"/>
      <c r="C37" s="643"/>
      <c r="D37" s="642"/>
      <c r="E37" s="642"/>
      <c r="F37" s="642"/>
      <c r="G37" s="635"/>
      <c r="H37" s="635"/>
      <c r="I37" s="635"/>
      <c r="J37" s="635"/>
      <c r="K37" s="635"/>
      <c r="L37" s="635"/>
      <c r="M37" s="635"/>
      <c r="N37" s="635"/>
      <c r="O37" s="635"/>
      <c r="P37" s="635"/>
      <c r="Q37" s="635"/>
      <c r="R37" s="635"/>
      <c r="S37" s="635"/>
    </row>
    <row r="38" spans="1:19" ht="26.4" customHeight="1" x14ac:dyDescent="0.25">
      <c r="A38" s="327"/>
      <c r="B38" s="327"/>
      <c r="C38" s="643"/>
      <c r="D38" s="642"/>
      <c r="E38" s="642"/>
      <c r="F38" s="642"/>
      <c r="G38" s="635"/>
      <c r="H38" s="635"/>
      <c r="I38" s="635"/>
      <c r="J38" s="635"/>
      <c r="K38" s="635"/>
      <c r="L38" s="635"/>
      <c r="M38" s="635"/>
      <c r="N38" s="635"/>
      <c r="O38" s="635"/>
      <c r="P38" s="635"/>
      <c r="Q38" s="635"/>
      <c r="R38" s="635"/>
      <c r="S38" s="635"/>
    </row>
    <row r="39" spans="1:19" ht="26.4" customHeight="1" x14ac:dyDescent="0.25">
      <c r="A39" s="327"/>
      <c r="B39" s="327"/>
      <c r="C39" s="643"/>
      <c r="D39" s="642"/>
      <c r="E39" s="642"/>
      <c r="F39" s="642"/>
      <c r="G39" s="635"/>
      <c r="H39" s="635"/>
      <c r="I39" s="635"/>
      <c r="J39" s="635"/>
      <c r="K39" s="635"/>
      <c r="L39" s="635"/>
      <c r="M39" s="635"/>
      <c r="N39" s="635"/>
      <c r="O39" s="635"/>
      <c r="P39" s="635"/>
      <c r="Q39" s="635"/>
      <c r="R39" s="635"/>
      <c r="S39" s="635"/>
    </row>
    <row r="40" spans="1:19" ht="26.4" customHeight="1" x14ac:dyDescent="0.25">
      <c r="A40" s="327"/>
      <c r="B40" s="327"/>
      <c r="C40" s="643"/>
      <c r="D40" s="642"/>
      <c r="E40" s="642"/>
      <c r="F40" s="642"/>
      <c r="G40" s="635"/>
      <c r="H40" s="635"/>
      <c r="I40" s="635"/>
      <c r="J40" s="635"/>
      <c r="K40" s="635"/>
      <c r="L40" s="635"/>
      <c r="M40" s="635"/>
      <c r="N40" s="635"/>
      <c r="O40" s="635"/>
      <c r="P40" s="635"/>
      <c r="Q40" s="635"/>
      <c r="R40" s="635"/>
      <c r="S40" s="635"/>
    </row>
    <row r="41" spans="1:19" ht="26.4" customHeight="1" x14ac:dyDescent="0.25">
      <c r="A41" s="327"/>
      <c r="B41" s="327"/>
      <c r="C41" s="643"/>
      <c r="D41" s="642"/>
      <c r="E41" s="642"/>
      <c r="F41" s="642"/>
      <c r="G41" s="635"/>
      <c r="H41" s="635"/>
      <c r="I41" s="635"/>
      <c r="J41" s="635"/>
      <c r="K41" s="635"/>
      <c r="L41" s="635"/>
      <c r="M41" s="635"/>
      <c r="N41" s="635"/>
      <c r="O41" s="635"/>
      <c r="P41" s="635"/>
      <c r="Q41" s="635"/>
      <c r="R41" s="635"/>
      <c r="S41" s="635"/>
    </row>
    <row r="42" spans="1:19" ht="26.4" customHeight="1" x14ac:dyDescent="0.25">
      <c r="A42" s="327"/>
      <c r="B42" s="327"/>
      <c r="C42" s="643"/>
      <c r="D42" s="642"/>
      <c r="E42" s="642"/>
      <c r="F42" s="642"/>
      <c r="G42" s="635"/>
      <c r="H42" s="635"/>
      <c r="I42" s="635"/>
      <c r="J42" s="635"/>
      <c r="K42" s="635"/>
      <c r="L42" s="635"/>
      <c r="M42" s="635"/>
      <c r="N42" s="635"/>
      <c r="O42" s="635"/>
      <c r="P42" s="635"/>
      <c r="Q42" s="635"/>
      <c r="R42" s="635"/>
      <c r="S42" s="635"/>
    </row>
    <row r="43" spans="1:19" ht="26.4" customHeight="1" x14ac:dyDescent="0.25">
      <c r="A43" s="327"/>
      <c r="B43" s="327"/>
      <c r="C43" s="643"/>
      <c r="D43" s="642"/>
      <c r="E43" s="642"/>
      <c r="F43" s="642"/>
      <c r="G43" s="635"/>
      <c r="H43" s="635"/>
      <c r="I43" s="635"/>
      <c r="J43" s="635"/>
      <c r="K43" s="635"/>
      <c r="L43" s="635"/>
      <c r="M43" s="635"/>
      <c r="N43" s="635"/>
      <c r="O43" s="635"/>
      <c r="P43" s="635"/>
      <c r="Q43" s="635"/>
      <c r="R43" s="635"/>
      <c r="S43" s="635"/>
    </row>
    <row r="44" spans="1:19" ht="26.4" customHeight="1" x14ac:dyDescent="0.25">
      <c r="A44" s="327"/>
      <c r="B44" s="327"/>
      <c r="C44" s="643"/>
      <c r="D44" s="642"/>
      <c r="E44" s="642"/>
      <c r="F44" s="642"/>
      <c r="G44" s="635"/>
      <c r="H44" s="635"/>
      <c r="I44" s="635"/>
      <c r="J44" s="635"/>
      <c r="K44" s="635"/>
      <c r="L44" s="635"/>
      <c r="M44" s="635"/>
      <c r="N44" s="635"/>
      <c r="O44" s="635"/>
      <c r="P44" s="635"/>
      <c r="Q44" s="635"/>
      <c r="R44" s="635"/>
      <c r="S44" s="635"/>
    </row>
    <row r="45" spans="1:19" ht="26.4" customHeight="1" x14ac:dyDescent="0.25">
      <c r="A45" s="327"/>
      <c r="B45" s="327"/>
      <c r="C45" s="643"/>
      <c r="D45" s="642"/>
      <c r="E45" s="642"/>
      <c r="F45" s="642"/>
      <c r="G45" s="635"/>
      <c r="H45" s="635"/>
      <c r="I45" s="635"/>
      <c r="J45" s="635"/>
      <c r="K45" s="635"/>
      <c r="L45" s="635"/>
      <c r="M45" s="635"/>
      <c r="N45" s="635"/>
      <c r="O45" s="635"/>
      <c r="P45" s="635"/>
      <c r="Q45" s="635"/>
      <c r="R45" s="635"/>
      <c r="S45" s="635"/>
    </row>
    <row r="46" spans="1:19" ht="26.4" customHeight="1" x14ac:dyDescent="0.25">
      <c r="A46" s="327"/>
      <c r="B46" s="327"/>
      <c r="C46" s="643"/>
      <c r="D46" s="642"/>
      <c r="E46" s="642"/>
      <c r="F46" s="642"/>
      <c r="G46" s="635"/>
      <c r="H46" s="635"/>
      <c r="I46" s="635"/>
      <c r="J46" s="635"/>
      <c r="K46" s="635"/>
      <c r="L46" s="635"/>
      <c r="M46" s="635"/>
      <c r="N46" s="635"/>
      <c r="O46" s="635"/>
      <c r="P46" s="635"/>
      <c r="Q46" s="635"/>
      <c r="R46" s="635"/>
      <c r="S46" s="635"/>
    </row>
    <row r="47" spans="1:19" ht="26.4" customHeight="1" x14ac:dyDescent="0.25">
      <c r="A47" s="327"/>
      <c r="B47" s="327"/>
      <c r="C47" s="643"/>
      <c r="D47" s="642"/>
      <c r="E47" s="642"/>
      <c r="F47" s="642"/>
      <c r="G47" s="635"/>
      <c r="H47" s="635"/>
      <c r="I47" s="635"/>
      <c r="J47" s="635"/>
      <c r="K47" s="635"/>
      <c r="L47" s="635"/>
      <c r="M47" s="635"/>
      <c r="N47" s="635"/>
      <c r="O47" s="635"/>
      <c r="P47" s="635"/>
      <c r="Q47" s="635"/>
      <c r="R47" s="635"/>
      <c r="S47" s="635"/>
    </row>
    <row r="48" spans="1:19" ht="26.4" customHeight="1" x14ac:dyDescent="0.25">
      <c r="A48" s="327"/>
      <c r="B48" s="327"/>
      <c r="C48" s="643"/>
      <c r="D48" s="642"/>
      <c r="E48" s="642"/>
      <c r="F48" s="642"/>
      <c r="G48" s="635"/>
      <c r="H48" s="635"/>
      <c r="I48" s="635"/>
      <c r="J48" s="635"/>
      <c r="K48" s="635"/>
      <c r="L48" s="635"/>
      <c r="M48" s="635"/>
      <c r="N48" s="635"/>
      <c r="O48" s="635"/>
      <c r="P48" s="635"/>
      <c r="Q48" s="635"/>
      <c r="R48" s="635"/>
      <c r="S48" s="635"/>
    </row>
    <row r="49" spans="1:19" ht="26.4" customHeight="1" x14ac:dyDescent="0.25">
      <c r="A49" s="327"/>
      <c r="B49" s="327"/>
      <c r="C49" s="643"/>
      <c r="D49" s="642"/>
      <c r="E49" s="642"/>
      <c r="F49" s="642"/>
      <c r="G49" s="635"/>
      <c r="H49" s="635"/>
      <c r="I49" s="635"/>
      <c r="J49" s="635"/>
      <c r="K49" s="635"/>
      <c r="L49" s="635"/>
      <c r="M49" s="635"/>
      <c r="N49" s="635"/>
      <c r="O49" s="635"/>
      <c r="P49" s="635"/>
      <c r="Q49" s="635"/>
      <c r="R49" s="635"/>
      <c r="S49" s="635"/>
    </row>
    <row r="50" spans="1:19" ht="26.4" customHeight="1" x14ac:dyDescent="0.25">
      <c r="A50" s="327"/>
      <c r="B50" s="327"/>
      <c r="C50" s="643"/>
      <c r="D50" s="642"/>
      <c r="E50" s="642"/>
      <c r="F50" s="642"/>
      <c r="G50" s="635"/>
      <c r="H50" s="635"/>
      <c r="I50" s="635"/>
      <c r="J50" s="635"/>
      <c r="K50" s="635"/>
      <c r="L50" s="635"/>
      <c r="M50" s="635"/>
      <c r="N50" s="635"/>
      <c r="O50" s="635"/>
      <c r="P50" s="635"/>
      <c r="Q50" s="635"/>
      <c r="R50" s="635"/>
      <c r="S50" s="635"/>
    </row>
    <row r="51" spans="1:19" ht="26.4" customHeight="1" x14ac:dyDescent="0.25">
      <c r="A51" s="327"/>
      <c r="B51" s="327"/>
      <c r="C51" s="643"/>
      <c r="D51" s="642"/>
      <c r="E51" s="642"/>
      <c r="F51" s="642"/>
      <c r="G51" s="635"/>
      <c r="H51" s="635"/>
      <c r="I51" s="635"/>
      <c r="J51" s="635"/>
      <c r="K51" s="635"/>
      <c r="L51" s="635"/>
      <c r="M51" s="635"/>
      <c r="N51" s="635"/>
      <c r="O51" s="635"/>
      <c r="P51" s="635"/>
      <c r="Q51" s="635"/>
      <c r="R51" s="635"/>
      <c r="S51" s="635"/>
    </row>
    <row r="52" spans="1:19" ht="26.4" customHeight="1" x14ac:dyDescent="0.25">
      <c r="A52" s="327"/>
      <c r="B52" s="327"/>
      <c r="C52" s="643"/>
      <c r="D52" s="642"/>
      <c r="E52" s="642"/>
      <c r="F52" s="642"/>
      <c r="G52" s="635"/>
      <c r="H52" s="635"/>
      <c r="I52" s="635"/>
      <c r="J52" s="635"/>
      <c r="K52" s="635"/>
      <c r="L52" s="635"/>
      <c r="M52" s="635"/>
      <c r="N52" s="635"/>
      <c r="O52" s="635"/>
      <c r="P52" s="635"/>
      <c r="Q52" s="635"/>
      <c r="R52" s="635"/>
      <c r="S52" s="635"/>
    </row>
    <row r="53" spans="1:19" ht="26.4" customHeight="1" x14ac:dyDescent="0.25">
      <c r="A53" s="327"/>
      <c r="B53" s="327"/>
      <c r="C53" s="643"/>
      <c r="D53" s="642"/>
      <c r="E53" s="642"/>
      <c r="F53" s="642"/>
      <c r="G53" s="635"/>
      <c r="H53" s="635"/>
      <c r="I53" s="635"/>
      <c r="J53" s="635"/>
      <c r="K53" s="635"/>
      <c r="L53" s="635"/>
      <c r="M53" s="635"/>
      <c r="N53" s="635"/>
      <c r="O53" s="635"/>
      <c r="P53" s="635"/>
      <c r="Q53" s="635"/>
      <c r="R53" s="635"/>
      <c r="S53" s="635"/>
    </row>
    <row r="54" spans="1:19" ht="26.4" customHeight="1" x14ac:dyDescent="0.25">
      <c r="A54" s="327"/>
      <c r="B54" s="327"/>
      <c r="C54" s="643"/>
      <c r="D54" s="642"/>
      <c r="E54" s="642"/>
      <c r="F54" s="642"/>
      <c r="G54" s="635"/>
      <c r="H54" s="635"/>
      <c r="I54" s="635"/>
      <c r="J54" s="635"/>
      <c r="K54" s="635"/>
      <c r="L54" s="635"/>
      <c r="M54" s="635"/>
      <c r="N54" s="635"/>
      <c r="O54" s="635"/>
      <c r="P54" s="635"/>
      <c r="Q54" s="635"/>
      <c r="R54" s="635"/>
      <c r="S54" s="635"/>
    </row>
    <row r="55" spans="1:19" ht="26.4" customHeight="1" x14ac:dyDescent="0.25">
      <c r="A55" s="327"/>
      <c r="B55" s="327"/>
      <c r="C55" s="643"/>
      <c r="D55" s="642"/>
      <c r="E55" s="642"/>
      <c r="F55" s="642"/>
      <c r="G55" s="635"/>
      <c r="H55" s="635"/>
      <c r="I55" s="635"/>
      <c r="J55" s="635"/>
      <c r="K55" s="635"/>
      <c r="L55" s="635"/>
      <c r="M55" s="635"/>
      <c r="N55" s="635"/>
      <c r="O55" s="635"/>
      <c r="P55" s="635"/>
      <c r="Q55" s="635"/>
      <c r="R55" s="635"/>
      <c r="S55" s="635"/>
    </row>
    <row r="56" spans="1:19" ht="26.4" customHeight="1" x14ac:dyDescent="0.25">
      <c r="A56" s="327"/>
      <c r="B56" s="327"/>
      <c r="C56" s="643"/>
      <c r="D56" s="642"/>
      <c r="E56" s="642"/>
      <c r="F56" s="642"/>
      <c r="G56" s="635"/>
      <c r="H56" s="635"/>
      <c r="I56" s="635"/>
      <c r="J56" s="635"/>
      <c r="K56" s="635"/>
      <c r="L56" s="635"/>
      <c r="M56" s="635"/>
      <c r="N56" s="635"/>
      <c r="O56" s="635"/>
      <c r="P56" s="635"/>
      <c r="Q56" s="635"/>
      <c r="R56" s="635"/>
      <c r="S56" s="635"/>
    </row>
    <row r="57" spans="1:19" ht="26.4" customHeight="1" x14ac:dyDescent="0.25">
      <c r="A57" s="327"/>
      <c r="B57" s="327"/>
      <c r="C57" s="643"/>
      <c r="D57" s="642"/>
      <c r="E57" s="642"/>
      <c r="F57" s="642"/>
      <c r="G57" s="635"/>
      <c r="H57" s="635"/>
      <c r="I57" s="635"/>
      <c r="J57" s="635"/>
      <c r="K57" s="635"/>
      <c r="L57" s="635"/>
      <c r="M57" s="635"/>
      <c r="N57" s="635"/>
      <c r="O57" s="635"/>
      <c r="P57" s="635"/>
      <c r="Q57" s="635"/>
      <c r="R57" s="635"/>
      <c r="S57" s="635"/>
    </row>
    <row r="58" spans="1:19" ht="26.4" customHeight="1" x14ac:dyDescent="0.25">
      <c r="A58" s="327"/>
      <c r="B58" s="327"/>
      <c r="C58" s="643"/>
      <c r="D58" s="642"/>
      <c r="E58" s="642"/>
      <c r="F58" s="642"/>
      <c r="G58" s="635"/>
      <c r="H58" s="635"/>
      <c r="I58" s="635"/>
      <c r="J58" s="635"/>
      <c r="K58" s="635"/>
      <c r="L58" s="635"/>
      <c r="M58" s="635"/>
      <c r="N58" s="635"/>
      <c r="O58" s="635"/>
      <c r="P58" s="635"/>
      <c r="Q58" s="635"/>
      <c r="R58" s="635"/>
      <c r="S58" s="635"/>
    </row>
    <row r="59" spans="1:19" ht="26.4" customHeight="1" x14ac:dyDescent="0.25">
      <c r="A59" s="327"/>
      <c r="B59" s="327"/>
      <c r="C59" s="643"/>
      <c r="D59" s="642"/>
      <c r="E59" s="642"/>
      <c r="F59" s="642"/>
      <c r="G59" s="635"/>
      <c r="H59" s="635"/>
      <c r="I59" s="635"/>
      <c r="J59" s="635"/>
      <c r="K59" s="635"/>
      <c r="L59" s="635"/>
      <c r="M59" s="635"/>
      <c r="N59" s="635"/>
      <c r="O59" s="635"/>
      <c r="P59" s="635"/>
      <c r="Q59" s="635"/>
      <c r="R59" s="635"/>
      <c r="S59" s="635"/>
    </row>
    <row r="60" spans="1:19" ht="26.4" customHeight="1" x14ac:dyDescent="0.25">
      <c r="A60" s="327"/>
      <c r="B60" s="327"/>
      <c r="C60" s="643"/>
      <c r="D60" s="642"/>
      <c r="E60" s="642"/>
      <c r="F60" s="642"/>
      <c r="G60" s="635"/>
      <c r="H60" s="635"/>
      <c r="I60" s="635"/>
      <c r="J60" s="635"/>
      <c r="K60" s="635"/>
      <c r="L60" s="635"/>
      <c r="M60" s="635"/>
      <c r="N60" s="635"/>
      <c r="O60" s="635"/>
      <c r="P60" s="635"/>
      <c r="Q60" s="635"/>
      <c r="R60" s="635"/>
      <c r="S60" s="635"/>
    </row>
    <row r="61" spans="1:19" ht="26.4" customHeight="1" x14ac:dyDescent="0.25">
      <c r="A61" s="327"/>
      <c r="B61" s="327"/>
      <c r="C61" s="643"/>
      <c r="D61" s="642"/>
      <c r="E61" s="642"/>
      <c r="F61" s="642"/>
      <c r="G61" s="635"/>
      <c r="H61" s="635"/>
      <c r="I61" s="635"/>
      <c r="J61" s="635"/>
      <c r="K61" s="635"/>
      <c r="L61" s="635"/>
      <c r="M61" s="635"/>
      <c r="N61" s="635"/>
      <c r="O61" s="635"/>
      <c r="P61" s="635"/>
      <c r="Q61" s="635"/>
      <c r="R61" s="635"/>
      <c r="S61" s="635"/>
    </row>
    <row r="62" spans="1:19" ht="26.4" customHeight="1" x14ac:dyDescent="0.25">
      <c r="A62" s="327"/>
      <c r="B62" s="327"/>
      <c r="C62" s="643"/>
      <c r="D62" s="642"/>
      <c r="E62" s="642"/>
      <c r="F62" s="642"/>
      <c r="G62" s="635"/>
      <c r="H62" s="635"/>
      <c r="I62" s="635"/>
      <c r="J62" s="635"/>
      <c r="K62" s="635"/>
      <c r="L62" s="635"/>
      <c r="M62" s="635"/>
      <c r="N62" s="635"/>
      <c r="O62" s="635"/>
      <c r="P62" s="635"/>
      <c r="Q62" s="635"/>
      <c r="R62" s="635"/>
      <c r="S62" s="635"/>
    </row>
    <row r="63" spans="1:19" ht="26.4" customHeight="1" x14ac:dyDescent="0.25">
      <c r="A63" s="327"/>
      <c r="B63" s="327"/>
      <c r="C63" s="643"/>
      <c r="D63" s="642"/>
      <c r="E63" s="642"/>
      <c r="F63" s="642"/>
      <c r="G63" s="635"/>
      <c r="H63" s="635"/>
      <c r="I63" s="635"/>
      <c r="J63" s="635"/>
      <c r="K63" s="635"/>
      <c r="L63" s="635"/>
      <c r="M63" s="635"/>
      <c r="N63" s="635"/>
      <c r="O63" s="635"/>
      <c r="P63" s="635"/>
      <c r="Q63" s="635"/>
      <c r="R63" s="635"/>
      <c r="S63" s="635"/>
    </row>
    <row r="64" spans="1:19" ht="26.4" customHeight="1" x14ac:dyDescent="0.25">
      <c r="A64" s="327"/>
      <c r="B64" s="327"/>
      <c r="C64" s="643"/>
      <c r="D64" s="642"/>
      <c r="E64" s="642"/>
      <c r="F64" s="642"/>
      <c r="G64" s="635"/>
      <c r="H64" s="635"/>
      <c r="I64" s="635"/>
      <c r="J64" s="635"/>
      <c r="K64" s="635"/>
      <c r="L64" s="635"/>
      <c r="M64" s="635"/>
      <c r="N64" s="635"/>
      <c r="O64" s="635"/>
      <c r="P64" s="635"/>
      <c r="Q64" s="635"/>
      <c r="R64" s="635"/>
      <c r="S64" s="635"/>
    </row>
    <row r="65" spans="1:19" ht="26.4" customHeight="1" x14ac:dyDescent="0.25">
      <c r="A65" s="327"/>
      <c r="B65" s="327"/>
      <c r="C65" s="643"/>
      <c r="D65" s="642"/>
      <c r="E65" s="642"/>
      <c r="F65" s="642"/>
      <c r="G65" s="635"/>
      <c r="H65" s="635"/>
      <c r="I65" s="635"/>
      <c r="J65" s="635"/>
      <c r="K65" s="635"/>
      <c r="L65" s="635"/>
      <c r="M65" s="635"/>
      <c r="N65" s="635"/>
      <c r="O65" s="635"/>
      <c r="P65" s="635"/>
      <c r="Q65" s="635"/>
      <c r="R65" s="635"/>
      <c r="S65" s="635"/>
    </row>
    <row r="66" spans="1:19" ht="26.4" customHeight="1" x14ac:dyDescent="0.25">
      <c r="A66" s="327"/>
      <c r="B66" s="327"/>
      <c r="C66" s="643"/>
      <c r="D66" s="642"/>
      <c r="E66" s="642"/>
      <c r="F66" s="642"/>
      <c r="G66" s="635"/>
      <c r="H66" s="635"/>
      <c r="I66" s="635"/>
      <c r="J66" s="635"/>
      <c r="K66" s="635"/>
      <c r="L66" s="635"/>
      <c r="M66" s="635"/>
      <c r="N66" s="635"/>
      <c r="O66" s="635"/>
      <c r="P66" s="635"/>
      <c r="Q66" s="635"/>
      <c r="R66" s="635"/>
      <c r="S66" s="635"/>
    </row>
    <row r="67" spans="1:19" ht="26.4" customHeight="1" x14ac:dyDescent="0.25">
      <c r="A67" s="327"/>
      <c r="B67" s="327"/>
      <c r="C67" s="643"/>
      <c r="D67" s="642"/>
      <c r="E67" s="642"/>
      <c r="F67" s="642"/>
      <c r="G67" s="635"/>
      <c r="H67" s="635"/>
      <c r="I67" s="635"/>
      <c r="J67" s="635"/>
      <c r="K67" s="635"/>
      <c r="L67" s="635"/>
      <c r="M67" s="635"/>
      <c r="N67" s="635"/>
      <c r="O67" s="635"/>
      <c r="P67" s="635"/>
      <c r="Q67" s="635"/>
      <c r="R67" s="635"/>
      <c r="S67" s="635"/>
    </row>
    <row r="68" spans="1:19" ht="26.4" customHeight="1" x14ac:dyDescent="0.25">
      <c r="A68" s="327"/>
      <c r="B68" s="327"/>
      <c r="C68" s="643"/>
      <c r="D68" s="642"/>
      <c r="E68" s="642"/>
      <c r="F68" s="642"/>
      <c r="G68" s="635"/>
      <c r="H68" s="635"/>
      <c r="I68" s="635"/>
      <c r="J68" s="635"/>
      <c r="K68" s="635"/>
      <c r="L68" s="635"/>
      <c r="M68" s="635"/>
      <c r="N68" s="635"/>
      <c r="O68" s="635"/>
      <c r="P68" s="635"/>
      <c r="Q68" s="635"/>
      <c r="R68" s="635"/>
      <c r="S68" s="635"/>
    </row>
    <row r="69" spans="1:19" ht="26.4" customHeight="1" x14ac:dyDescent="0.25">
      <c r="A69" s="327"/>
      <c r="B69" s="327"/>
      <c r="C69" s="643"/>
      <c r="D69" s="642"/>
      <c r="E69" s="642"/>
      <c r="F69" s="642"/>
      <c r="G69" s="635"/>
      <c r="H69" s="635"/>
      <c r="I69" s="635"/>
      <c r="J69" s="635"/>
      <c r="K69" s="635"/>
      <c r="L69" s="635"/>
      <c r="M69" s="635"/>
      <c r="N69" s="635"/>
      <c r="O69" s="635"/>
      <c r="P69" s="635"/>
      <c r="Q69" s="635"/>
      <c r="R69" s="635"/>
      <c r="S69" s="635"/>
    </row>
    <row r="70" spans="1:19" ht="26.4" customHeight="1" x14ac:dyDescent="0.25">
      <c r="A70" s="327"/>
      <c r="B70" s="327"/>
      <c r="C70" s="643"/>
      <c r="D70" s="642"/>
      <c r="E70" s="642"/>
      <c r="F70" s="642"/>
      <c r="G70" s="635"/>
      <c r="H70" s="635"/>
      <c r="I70" s="635"/>
      <c r="J70" s="635"/>
      <c r="K70" s="635"/>
      <c r="L70" s="635"/>
      <c r="M70" s="635"/>
      <c r="N70" s="635"/>
      <c r="O70" s="635"/>
      <c r="P70" s="635"/>
      <c r="Q70" s="635"/>
      <c r="R70" s="635"/>
      <c r="S70" s="635"/>
    </row>
    <row r="71" spans="1:19" ht="26.4" customHeight="1" x14ac:dyDescent="0.25">
      <c r="A71" s="327"/>
      <c r="B71" s="327"/>
      <c r="C71" s="643"/>
      <c r="D71" s="642"/>
      <c r="E71" s="642"/>
      <c r="F71" s="642"/>
      <c r="G71" s="635"/>
      <c r="H71" s="635"/>
      <c r="I71" s="635"/>
      <c r="J71" s="635"/>
      <c r="K71" s="635"/>
      <c r="L71" s="635"/>
      <c r="M71" s="635"/>
      <c r="N71" s="635"/>
      <c r="O71" s="635"/>
      <c r="P71" s="635"/>
      <c r="Q71" s="635"/>
      <c r="R71" s="635"/>
      <c r="S71" s="635"/>
    </row>
    <row r="72" spans="1:19" ht="26.4" customHeight="1" x14ac:dyDescent="0.25">
      <c r="A72" s="327"/>
      <c r="B72" s="327"/>
      <c r="C72" s="643"/>
      <c r="D72" s="642"/>
      <c r="E72" s="642"/>
      <c r="F72" s="642"/>
      <c r="G72" s="635"/>
      <c r="H72" s="635"/>
      <c r="I72" s="635"/>
      <c r="J72" s="635"/>
      <c r="K72" s="635"/>
      <c r="L72" s="635"/>
      <c r="M72" s="635"/>
      <c r="N72" s="635"/>
      <c r="O72" s="635"/>
      <c r="P72" s="635"/>
      <c r="Q72" s="635"/>
      <c r="R72" s="635"/>
      <c r="S72" s="635"/>
    </row>
    <row r="73" spans="1:19" ht="26.4" customHeight="1" x14ac:dyDescent="0.25">
      <c r="A73" s="327"/>
      <c r="B73" s="327"/>
      <c r="C73" s="643"/>
      <c r="D73" s="642"/>
      <c r="E73" s="642"/>
      <c r="F73" s="642"/>
      <c r="G73" s="635"/>
      <c r="H73" s="635"/>
      <c r="I73" s="635"/>
      <c r="J73" s="635"/>
      <c r="K73" s="635"/>
      <c r="L73" s="635"/>
      <c r="M73" s="635"/>
      <c r="N73" s="635"/>
      <c r="O73" s="635"/>
      <c r="P73" s="635"/>
      <c r="Q73" s="635"/>
      <c r="R73" s="635"/>
      <c r="S73" s="635"/>
    </row>
    <row r="74" spans="1:19" ht="26.4" customHeight="1" x14ac:dyDescent="0.25">
      <c r="A74" s="327"/>
      <c r="B74" s="327"/>
      <c r="C74" s="643"/>
      <c r="D74" s="642"/>
      <c r="E74" s="642"/>
      <c r="F74" s="642"/>
      <c r="G74" s="635"/>
      <c r="H74" s="635"/>
      <c r="I74" s="635"/>
      <c r="J74" s="635"/>
      <c r="K74" s="635"/>
      <c r="L74" s="635"/>
      <c r="M74" s="635"/>
      <c r="N74" s="635"/>
      <c r="O74" s="635"/>
      <c r="P74" s="635"/>
      <c r="Q74" s="635"/>
      <c r="R74" s="635"/>
      <c r="S74" s="635"/>
    </row>
    <row r="75" spans="1:19" ht="26.4" customHeight="1" x14ac:dyDescent="0.25">
      <c r="A75" s="327"/>
      <c r="B75" s="327"/>
      <c r="C75" s="643"/>
      <c r="D75" s="642"/>
      <c r="E75" s="642"/>
      <c r="F75" s="642"/>
      <c r="G75" s="635"/>
      <c r="H75" s="635"/>
      <c r="I75" s="635"/>
      <c r="J75" s="635"/>
      <c r="K75" s="635"/>
      <c r="L75" s="635"/>
      <c r="M75" s="635"/>
      <c r="N75" s="635"/>
      <c r="O75" s="635"/>
      <c r="P75" s="635"/>
      <c r="Q75" s="635"/>
      <c r="R75" s="635"/>
      <c r="S75" s="635"/>
    </row>
    <row r="76" spans="1:19" ht="26.4" customHeight="1" x14ac:dyDescent="0.25">
      <c r="A76" s="327"/>
      <c r="B76" s="327"/>
      <c r="C76" s="643"/>
      <c r="D76" s="642"/>
      <c r="E76" s="642"/>
      <c r="F76" s="642"/>
      <c r="G76" s="635"/>
      <c r="H76" s="635"/>
      <c r="I76" s="635"/>
      <c r="J76" s="635"/>
      <c r="K76" s="635"/>
      <c r="L76" s="635"/>
      <c r="M76" s="635"/>
      <c r="N76" s="635"/>
      <c r="O76" s="635"/>
      <c r="P76" s="635"/>
      <c r="Q76" s="635"/>
      <c r="R76" s="635"/>
      <c r="S76" s="635"/>
    </row>
    <row r="77" spans="1:19" ht="26.4" customHeight="1" x14ac:dyDescent="0.25">
      <c r="A77" s="327"/>
      <c r="B77" s="327"/>
      <c r="C77" s="643"/>
      <c r="D77" s="642"/>
      <c r="E77" s="642"/>
      <c r="F77" s="642"/>
      <c r="G77" s="635"/>
      <c r="H77" s="635"/>
      <c r="I77" s="635"/>
      <c r="J77" s="635"/>
      <c r="K77" s="635"/>
      <c r="L77" s="635"/>
      <c r="M77" s="635"/>
      <c r="N77" s="635"/>
      <c r="O77" s="635"/>
      <c r="P77" s="635"/>
      <c r="Q77" s="635"/>
      <c r="R77" s="635"/>
      <c r="S77" s="635"/>
    </row>
    <row r="78" spans="1:19" ht="26.4" customHeight="1" x14ac:dyDescent="0.25">
      <c r="A78" s="327"/>
      <c r="B78" s="327"/>
      <c r="C78" s="643"/>
      <c r="D78" s="642"/>
      <c r="E78" s="642"/>
      <c r="F78" s="642"/>
      <c r="G78" s="635"/>
      <c r="H78" s="635"/>
      <c r="I78" s="635"/>
      <c r="J78" s="635"/>
      <c r="K78" s="635"/>
      <c r="L78" s="635"/>
      <c r="M78" s="635"/>
      <c r="N78" s="635"/>
      <c r="O78" s="635"/>
      <c r="P78" s="635"/>
      <c r="Q78" s="635"/>
      <c r="R78" s="635"/>
      <c r="S78" s="635"/>
    </row>
    <row r="79" spans="1:19" ht="26.4" customHeight="1" x14ac:dyDescent="0.25">
      <c r="A79" s="327"/>
      <c r="B79" s="327"/>
      <c r="C79" s="643"/>
      <c r="D79" s="642"/>
      <c r="E79" s="642"/>
      <c r="F79" s="642"/>
      <c r="G79" s="635"/>
      <c r="H79" s="635"/>
      <c r="I79" s="635"/>
      <c r="J79" s="635"/>
      <c r="K79" s="635"/>
      <c r="L79" s="635"/>
      <c r="M79" s="635"/>
      <c r="N79" s="635"/>
      <c r="O79" s="635"/>
      <c r="P79" s="635"/>
      <c r="Q79" s="635"/>
      <c r="R79" s="635"/>
      <c r="S79" s="635"/>
    </row>
    <row r="80" spans="1:19" ht="26.4" customHeight="1" x14ac:dyDescent="0.25">
      <c r="A80" s="327"/>
      <c r="B80" s="327"/>
      <c r="C80" s="643"/>
      <c r="D80" s="642"/>
      <c r="E80" s="642"/>
      <c r="F80" s="642"/>
      <c r="G80" s="635"/>
      <c r="H80" s="635"/>
      <c r="I80" s="635"/>
      <c r="J80" s="635"/>
      <c r="K80" s="635"/>
      <c r="L80" s="635"/>
      <c r="M80" s="635"/>
      <c r="N80" s="635"/>
      <c r="O80" s="635"/>
      <c r="P80" s="635"/>
      <c r="Q80" s="635"/>
      <c r="R80" s="635"/>
      <c r="S80" s="635"/>
    </row>
    <row r="81" spans="1:19" ht="26.4" customHeight="1" x14ac:dyDescent="0.25">
      <c r="A81" s="327"/>
      <c r="B81" s="327"/>
      <c r="C81" s="643"/>
      <c r="D81" s="642"/>
      <c r="E81" s="642"/>
      <c r="F81" s="642"/>
      <c r="G81" s="635"/>
      <c r="H81" s="635"/>
      <c r="I81" s="635"/>
      <c r="J81" s="635"/>
      <c r="K81" s="635"/>
      <c r="L81" s="635"/>
      <c r="M81" s="635"/>
      <c r="N81" s="635"/>
      <c r="O81" s="635"/>
      <c r="P81" s="635"/>
      <c r="Q81" s="635"/>
      <c r="R81" s="635"/>
      <c r="S81" s="635"/>
    </row>
    <row r="82" spans="1:19" ht="26.4" customHeight="1" x14ac:dyDescent="0.25">
      <c r="A82" s="327"/>
      <c r="B82" s="327"/>
      <c r="C82" s="643"/>
      <c r="D82" s="642"/>
      <c r="E82" s="642"/>
      <c r="F82" s="642"/>
      <c r="G82" s="635"/>
      <c r="H82" s="635"/>
      <c r="I82" s="635"/>
      <c r="J82" s="635"/>
      <c r="K82" s="635"/>
      <c r="L82" s="635"/>
      <c r="M82" s="635"/>
      <c r="N82" s="635"/>
      <c r="O82" s="635"/>
      <c r="P82" s="635"/>
      <c r="Q82" s="635"/>
      <c r="R82" s="635"/>
      <c r="S82" s="635"/>
    </row>
    <row r="83" spans="1:19" ht="26.4" customHeight="1" x14ac:dyDescent="0.25">
      <c r="A83" s="327"/>
      <c r="B83" s="327"/>
      <c r="C83" s="643"/>
      <c r="D83" s="642"/>
      <c r="E83" s="642"/>
      <c r="F83" s="642"/>
      <c r="G83" s="635"/>
      <c r="H83" s="635"/>
      <c r="I83" s="635"/>
      <c r="J83" s="635"/>
      <c r="K83" s="635"/>
      <c r="L83" s="635"/>
      <c r="M83" s="635"/>
      <c r="N83" s="635"/>
      <c r="O83" s="635"/>
      <c r="P83" s="635"/>
      <c r="Q83" s="635"/>
      <c r="R83" s="635"/>
      <c r="S83" s="635"/>
    </row>
    <row r="84" spans="1:19" ht="26.4" customHeight="1" x14ac:dyDescent="0.25">
      <c r="A84" s="327"/>
      <c r="B84" s="327"/>
      <c r="C84" s="643"/>
      <c r="D84" s="642"/>
      <c r="E84" s="642"/>
      <c r="F84" s="642"/>
      <c r="G84" s="635"/>
      <c r="H84" s="635"/>
      <c r="I84" s="635"/>
      <c r="J84" s="635"/>
      <c r="K84" s="635"/>
      <c r="L84" s="635"/>
      <c r="M84" s="635"/>
      <c r="N84" s="635"/>
      <c r="O84" s="635"/>
      <c r="P84" s="635"/>
      <c r="Q84" s="635"/>
      <c r="R84" s="635"/>
      <c r="S84" s="635"/>
    </row>
    <row r="85" spans="1:19" ht="26.4" customHeight="1" x14ac:dyDescent="0.25">
      <c r="A85" s="327"/>
      <c r="B85" s="327"/>
      <c r="C85" s="643"/>
      <c r="D85" s="642"/>
      <c r="E85" s="642"/>
      <c r="F85" s="642"/>
      <c r="G85" s="635"/>
      <c r="H85" s="635"/>
      <c r="I85" s="635"/>
      <c r="J85" s="635"/>
      <c r="K85" s="635"/>
      <c r="L85" s="635"/>
      <c r="M85" s="635"/>
      <c r="N85" s="635"/>
      <c r="O85" s="635"/>
      <c r="P85" s="635"/>
      <c r="Q85" s="635"/>
      <c r="R85" s="635"/>
      <c r="S85" s="635"/>
    </row>
    <row r="86" spans="1:19" ht="26.4" customHeight="1" x14ac:dyDescent="0.25">
      <c r="A86" s="327"/>
      <c r="B86" s="327"/>
      <c r="C86" s="643"/>
      <c r="D86" s="642"/>
      <c r="E86" s="642"/>
      <c r="F86" s="642"/>
      <c r="G86" s="635"/>
      <c r="H86" s="635"/>
      <c r="I86" s="635"/>
      <c r="J86" s="635"/>
      <c r="K86" s="635"/>
      <c r="L86" s="635"/>
      <c r="M86" s="635"/>
      <c r="N86" s="635"/>
      <c r="O86" s="635"/>
      <c r="P86" s="635"/>
      <c r="Q86" s="635"/>
      <c r="R86" s="635"/>
      <c r="S86" s="635"/>
    </row>
    <row r="87" spans="1:19" ht="26.4" customHeight="1" x14ac:dyDescent="0.25">
      <c r="A87" s="327"/>
      <c r="B87" s="327"/>
      <c r="C87" s="643"/>
      <c r="D87" s="642"/>
      <c r="E87" s="642"/>
      <c r="F87" s="642"/>
      <c r="G87" s="635"/>
      <c r="H87" s="635"/>
      <c r="I87" s="635"/>
      <c r="J87" s="635"/>
      <c r="K87" s="635"/>
      <c r="L87" s="635"/>
      <c r="M87" s="635"/>
      <c r="N87" s="635"/>
      <c r="O87" s="635"/>
      <c r="P87" s="635"/>
      <c r="Q87" s="635"/>
      <c r="R87" s="635"/>
      <c r="S87" s="635"/>
    </row>
    <row r="88" spans="1:19" ht="26.4" customHeight="1" x14ac:dyDescent="0.25">
      <c r="A88" s="327"/>
      <c r="B88" s="327"/>
      <c r="C88" s="643"/>
      <c r="D88" s="642"/>
      <c r="E88" s="642"/>
      <c r="F88" s="642"/>
      <c r="G88" s="635"/>
      <c r="H88" s="635"/>
      <c r="I88" s="635"/>
      <c r="J88" s="635"/>
      <c r="K88" s="635"/>
      <c r="L88" s="635"/>
      <c r="M88" s="635"/>
      <c r="N88" s="635"/>
      <c r="O88" s="635"/>
      <c r="P88" s="635"/>
      <c r="Q88" s="635"/>
      <c r="R88" s="635"/>
      <c r="S88" s="635"/>
    </row>
    <row r="89" spans="1:19" ht="26.4" customHeight="1" x14ac:dyDescent="0.25">
      <c r="A89" s="327"/>
      <c r="B89" s="327"/>
      <c r="C89" s="643"/>
      <c r="D89" s="642"/>
      <c r="E89" s="642"/>
      <c r="F89" s="642"/>
      <c r="G89" s="635"/>
      <c r="H89" s="635"/>
      <c r="I89" s="635"/>
      <c r="J89" s="635"/>
      <c r="K89" s="635"/>
      <c r="L89" s="635"/>
      <c r="M89" s="635"/>
      <c r="N89" s="635"/>
      <c r="O89" s="635"/>
      <c r="P89" s="635"/>
      <c r="Q89" s="635"/>
      <c r="R89" s="635"/>
      <c r="S89" s="635"/>
    </row>
    <row r="90" spans="1:19" ht="26.4" customHeight="1" x14ac:dyDescent="0.25">
      <c r="A90" s="327"/>
      <c r="B90" s="327"/>
      <c r="C90" s="643"/>
      <c r="D90" s="642"/>
      <c r="E90" s="642"/>
      <c r="F90" s="642"/>
      <c r="G90" s="635"/>
      <c r="H90" s="635"/>
      <c r="I90" s="635"/>
      <c r="J90" s="635"/>
      <c r="K90" s="635"/>
      <c r="L90" s="635"/>
      <c r="M90" s="635"/>
      <c r="N90" s="635"/>
      <c r="O90" s="635"/>
      <c r="P90" s="635"/>
      <c r="Q90" s="635"/>
      <c r="R90" s="635"/>
      <c r="S90" s="635"/>
    </row>
    <row r="91" spans="1:19" ht="26.4" customHeight="1" x14ac:dyDescent="0.25">
      <c r="A91" s="327"/>
      <c r="B91" s="327"/>
      <c r="C91" s="643"/>
      <c r="D91" s="642"/>
      <c r="E91" s="642"/>
      <c r="F91" s="642"/>
      <c r="G91" s="635"/>
      <c r="H91" s="635"/>
      <c r="I91" s="635"/>
      <c r="J91" s="635"/>
      <c r="K91" s="635"/>
      <c r="L91" s="635"/>
      <c r="M91" s="635"/>
      <c r="N91" s="635"/>
      <c r="O91" s="635"/>
      <c r="P91" s="635"/>
      <c r="Q91" s="635"/>
      <c r="R91" s="635"/>
      <c r="S91" s="635"/>
    </row>
    <row r="92" spans="1:19" ht="26.4" customHeight="1" x14ac:dyDescent="0.25">
      <c r="A92" s="327"/>
      <c r="B92" s="327"/>
      <c r="C92" s="643"/>
      <c r="D92" s="642"/>
      <c r="E92" s="642"/>
      <c r="F92" s="642"/>
      <c r="G92" s="635"/>
      <c r="H92" s="635"/>
      <c r="I92" s="635"/>
      <c r="J92" s="635"/>
      <c r="K92" s="635"/>
      <c r="L92" s="635"/>
      <c r="M92" s="635"/>
      <c r="N92" s="635"/>
      <c r="O92" s="635"/>
      <c r="P92" s="635"/>
      <c r="Q92" s="635"/>
      <c r="R92" s="635"/>
      <c r="S92" s="635"/>
    </row>
    <row r="93" spans="1:19" ht="26.4" customHeight="1" x14ac:dyDescent="0.25">
      <c r="A93" s="327"/>
      <c r="B93" s="327"/>
      <c r="C93" s="643"/>
      <c r="D93" s="642"/>
      <c r="E93" s="642"/>
      <c r="F93" s="642"/>
      <c r="G93" s="635"/>
      <c r="H93" s="635"/>
      <c r="I93" s="635"/>
      <c r="J93" s="635"/>
      <c r="K93" s="635"/>
      <c r="L93" s="635"/>
      <c r="M93" s="635"/>
      <c r="N93" s="635"/>
      <c r="O93" s="635"/>
      <c r="P93" s="635"/>
      <c r="Q93" s="635"/>
      <c r="R93" s="635"/>
      <c r="S93" s="635"/>
    </row>
    <row r="94" spans="1:19" ht="26.4" customHeight="1" x14ac:dyDescent="0.25">
      <c r="A94" s="327"/>
      <c r="B94" s="327"/>
      <c r="C94" s="643"/>
      <c r="D94" s="642"/>
      <c r="E94" s="642"/>
      <c r="F94" s="642"/>
      <c r="G94" s="635"/>
      <c r="H94" s="635"/>
      <c r="I94" s="635"/>
      <c r="J94" s="635"/>
      <c r="K94" s="635"/>
      <c r="L94" s="635"/>
      <c r="M94" s="635"/>
      <c r="N94" s="635"/>
      <c r="O94" s="635"/>
      <c r="P94" s="635"/>
      <c r="Q94" s="635"/>
      <c r="R94" s="635"/>
      <c r="S94" s="635"/>
    </row>
    <row r="95" spans="1:19" ht="26.4" customHeight="1" x14ac:dyDescent="0.25">
      <c r="A95" s="327"/>
      <c r="B95" s="327"/>
      <c r="C95" s="643"/>
      <c r="D95" s="642"/>
      <c r="E95" s="642"/>
      <c r="F95" s="642"/>
      <c r="G95" s="635"/>
      <c r="H95" s="635"/>
      <c r="I95" s="635"/>
      <c r="J95" s="635"/>
      <c r="K95" s="635"/>
      <c r="L95" s="635"/>
      <c r="M95" s="635"/>
      <c r="N95" s="635"/>
      <c r="O95" s="635"/>
      <c r="P95" s="635"/>
      <c r="Q95" s="635"/>
      <c r="R95" s="635"/>
      <c r="S95" s="635"/>
    </row>
    <row r="96" spans="1:19" ht="26.4" customHeight="1" x14ac:dyDescent="0.25">
      <c r="A96" s="327"/>
      <c r="B96" s="327"/>
      <c r="C96" s="643"/>
      <c r="D96" s="642"/>
      <c r="E96" s="642"/>
      <c r="F96" s="642"/>
      <c r="G96" s="635"/>
      <c r="H96" s="635"/>
      <c r="I96" s="635"/>
      <c r="J96" s="635"/>
      <c r="K96" s="635"/>
      <c r="L96" s="635"/>
      <c r="M96" s="635"/>
      <c r="N96" s="635"/>
      <c r="O96" s="635"/>
      <c r="P96" s="635"/>
      <c r="Q96" s="635"/>
      <c r="R96" s="635"/>
      <c r="S96" s="635"/>
    </row>
    <row r="97" spans="1:19" ht="26.4" customHeight="1" x14ac:dyDescent="0.25">
      <c r="A97" s="327"/>
      <c r="B97" s="327"/>
      <c r="C97" s="643"/>
      <c r="D97" s="642"/>
      <c r="E97" s="642"/>
      <c r="F97" s="642"/>
      <c r="G97" s="635"/>
      <c r="H97" s="635"/>
      <c r="I97" s="635"/>
      <c r="J97" s="635"/>
      <c r="K97" s="635"/>
      <c r="L97" s="635"/>
      <c r="M97" s="635"/>
      <c r="N97" s="635"/>
      <c r="O97" s="635"/>
      <c r="P97" s="635"/>
      <c r="Q97" s="635"/>
      <c r="R97" s="635"/>
      <c r="S97" s="635"/>
    </row>
    <row r="98" spans="1:19" ht="26.4" customHeight="1" x14ac:dyDescent="0.25">
      <c r="A98" s="327"/>
      <c r="B98" s="327"/>
      <c r="C98" s="643"/>
      <c r="D98" s="642"/>
      <c r="E98" s="642"/>
      <c r="F98" s="642"/>
      <c r="G98" s="635"/>
      <c r="H98" s="635"/>
      <c r="I98" s="635"/>
      <c r="J98" s="635"/>
      <c r="K98" s="635"/>
      <c r="L98" s="635"/>
      <c r="M98" s="635"/>
      <c r="N98" s="635"/>
      <c r="O98" s="635"/>
      <c r="P98" s="635"/>
      <c r="Q98" s="635"/>
      <c r="R98" s="635"/>
      <c r="S98" s="635"/>
    </row>
    <row r="99" spans="1:19" ht="26.4" customHeight="1" x14ac:dyDescent="0.25">
      <c r="A99" s="327"/>
      <c r="B99" s="327"/>
      <c r="C99" s="643"/>
      <c r="D99" s="642"/>
      <c r="E99" s="642"/>
      <c r="F99" s="642"/>
      <c r="G99" s="635"/>
      <c r="H99" s="635"/>
      <c r="I99" s="635"/>
      <c r="J99" s="635"/>
      <c r="K99" s="635"/>
      <c r="L99" s="635"/>
      <c r="M99" s="635"/>
      <c r="N99" s="635"/>
      <c r="O99" s="635"/>
      <c r="P99" s="635"/>
      <c r="Q99" s="635"/>
      <c r="R99" s="635"/>
      <c r="S99" s="635"/>
    </row>
    <row r="100" spans="1:19" ht="26.4" customHeight="1" x14ac:dyDescent="0.25">
      <c r="A100" s="327"/>
      <c r="B100" s="327"/>
      <c r="C100" s="643"/>
      <c r="D100" s="642"/>
      <c r="E100" s="642"/>
      <c r="F100" s="642"/>
      <c r="G100" s="635"/>
      <c r="H100" s="635"/>
      <c r="I100" s="635"/>
      <c r="J100" s="635"/>
      <c r="K100" s="635"/>
      <c r="L100" s="635"/>
      <c r="M100" s="635"/>
      <c r="N100" s="635"/>
      <c r="O100" s="635"/>
      <c r="P100" s="635"/>
      <c r="Q100" s="635"/>
      <c r="R100" s="635"/>
      <c r="S100" s="635"/>
    </row>
    <row r="101" spans="1:19" ht="26.4" customHeight="1" x14ac:dyDescent="0.25">
      <c r="A101" s="327"/>
      <c r="B101" s="327"/>
      <c r="C101" s="643"/>
      <c r="D101" s="642"/>
      <c r="E101" s="642"/>
      <c r="F101" s="642"/>
      <c r="G101" s="635"/>
      <c r="H101" s="635"/>
      <c r="I101" s="635"/>
      <c r="J101" s="635"/>
      <c r="K101" s="635"/>
      <c r="L101" s="635"/>
      <c r="M101" s="635"/>
      <c r="N101" s="635"/>
      <c r="O101" s="635"/>
      <c r="P101" s="635"/>
      <c r="Q101" s="635"/>
      <c r="R101" s="635"/>
      <c r="S101" s="635"/>
    </row>
    <row r="102" spans="1:19" ht="26.4" customHeight="1" x14ac:dyDescent="0.25">
      <c r="A102" s="327"/>
      <c r="B102" s="327"/>
      <c r="C102" s="643"/>
      <c r="D102" s="642"/>
      <c r="E102" s="642"/>
      <c r="F102" s="642"/>
      <c r="G102" s="635"/>
      <c r="H102" s="635"/>
      <c r="I102" s="635"/>
      <c r="J102" s="635"/>
      <c r="K102" s="635"/>
      <c r="L102" s="635"/>
      <c r="M102" s="635"/>
      <c r="N102" s="635"/>
      <c r="O102" s="635"/>
      <c r="P102" s="635"/>
      <c r="Q102" s="635"/>
      <c r="R102" s="635"/>
      <c r="S102" s="635"/>
    </row>
    <row r="103" spans="1:19" ht="26.4" customHeight="1" x14ac:dyDescent="0.25">
      <c r="A103" s="327"/>
      <c r="B103" s="327"/>
      <c r="C103" s="643"/>
      <c r="D103" s="642"/>
      <c r="E103" s="642"/>
      <c r="F103" s="642"/>
      <c r="G103" s="635"/>
      <c r="H103" s="635"/>
      <c r="I103" s="635"/>
      <c r="J103" s="635"/>
      <c r="K103" s="635"/>
      <c r="L103" s="635"/>
      <c r="M103" s="635"/>
      <c r="N103" s="635"/>
      <c r="O103" s="635"/>
      <c r="P103" s="635"/>
      <c r="Q103" s="635"/>
      <c r="R103" s="635"/>
      <c r="S103" s="635"/>
    </row>
    <row r="104" spans="1:19" ht="26.4" customHeight="1" x14ac:dyDescent="0.25">
      <c r="A104" s="327"/>
      <c r="B104" s="327"/>
      <c r="C104" s="643"/>
      <c r="D104" s="642"/>
      <c r="E104" s="642"/>
      <c r="F104" s="642"/>
      <c r="G104" s="635"/>
      <c r="H104" s="635"/>
      <c r="I104" s="635"/>
      <c r="J104" s="635"/>
      <c r="K104" s="635"/>
      <c r="L104" s="635"/>
      <c r="M104" s="635"/>
      <c r="N104" s="635"/>
      <c r="O104" s="635"/>
      <c r="P104" s="635"/>
      <c r="Q104" s="635"/>
      <c r="R104" s="635"/>
      <c r="S104" s="635"/>
    </row>
    <row r="105" spans="1:19" ht="26.4" customHeight="1" x14ac:dyDescent="0.25">
      <c r="A105" s="327"/>
      <c r="B105" s="327"/>
      <c r="C105" s="643"/>
      <c r="D105" s="642"/>
      <c r="E105" s="642"/>
      <c r="F105" s="642"/>
      <c r="G105" s="635"/>
      <c r="H105" s="635"/>
      <c r="I105" s="635"/>
      <c r="J105" s="635"/>
      <c r="K105" s="635"/>
      <c r="L105" s="635"/>
      <c r="M105" s="635"/>
      <c r="N105" s="635"/>
      <c r="O105" s="635"/>
      <c r="P105" s="635"/>
      <c r="Q105" s="635"/>
      <c r="R105" s="635"/>
      <c r="S105" s="635"/>
    </row>
    <row r="106" spans="1:19" ht="26.4" customHeight="1" x14ac:dyDescent="0.25">
      <c r="A106" s="327"/>
      <c r="B106" s="327"/>
      <c r="C106" s="643"/>
      <c r="D106" s="642"/>
      <c r="E106" s="642"/>
      <c r="F106" s="642"/>
      <c r="G106" s="635"/>
      <c r="H106" s="635"/>
      <c r="I106" s="635"/>
      <c r="J106" s="635"/>
      <c r="K106" s="635"/>
      <c r="L106" s="635"/>
      <c r="M106" s="635"/>
      <c r="N106" s="635"/>
      <c r="O106" s="635"/>
      <c r="P106" s="635"/>
      <c r="Q106" s="635"/>
      <c r="R106" s="635"/>
      <c r="S106" s="635"/>
    </row>
    <row r="107" spans="1:19" ht="26.4" customHeight="1" x14ac:dyDescent="0.25">
      <c r="A107" s="327"/>
      <c r="B107" s="327"/>
      <c r="C107" s="643"/>
      <c r="D107" s="642"/>
      <c r="E107" s="642"/>
      <c r="F107" s="642"/>
      <c r="G107" s="635"/>
      <c r="H107" s="635"/>
      <c r="I107" s="635"/>
      <c r="J107" s="635"/>
      <c r="K107" s="635"/>
      <c r="L107" s="635"/>
      <c r="M107" s="635"/>
      <c r="N107" s="635"/>
      <c r="O107" s="635"/>
      <c r="P107" s="635"/>
      <c r="Q107" s="635"/>
      <c r="R107" s="635"/>
      <c r="S107" s="635"/>
    </row>
    <row r="108" spans="1:19" ht="26.4" customHeight="1" x14ac:dyDescent="0.25">
      <c r="A108" s="327"/>
      <c r="B108" s="327"/>
      <c r="C108" s="643"/>
      <c r="D108" s="642"/>
      <c r="E108" s="642"/>
      <c r="F108" s="642"/>
      <c r="G108" s="635"/>
      <c r="H108" s="635"/>
      <c r="I108" s="635"/>
      <c r="J108" s="635"/>
      <c r="K108" s="635"/>
      <c r="L108" s="635"/>
      <c r="M108" s="635"/>
      <c r="N108" s="635"/>
      <c r="O108" s="635"/>
      <c r="P108" s="635"/>
      <c r="Q108" s="635"/>
      <c r="R108" s="635"/>
      <c r="S108" s="635"/>
    </row>
    <row r="109" spans="1:19" ht="26.4" customHeight="1" x14ac:dyDescent="0.25">
      <c r="A109" s="327"/>
      <c r="B109" s="327"/>
      <c r="C109" s="643"/>
      <c r="D109" s="642"/>
      <c r="E109" s="642"/>
      <c r="F109" s="642"/>
      <c r="G109" s="635"/>
      <c r="H109" s="635"/>
      <c r="I109" s="635"/>
      <c r="J109" s="635"/>
      <c r="K109" s="635"/>
      <c r="L109" s="635"/>
      <c r="M109" s="635"/>
      <c r="N109" s="635"/>
      <c r="O109" s="635"/>
      <c r="P109" s="635"/>
      <c r="Q109" s="635"/>
      <c r="R109" s="635"/>
      <c r="S109" s="635"/>
    </row>
    <row r="110" spans="1:19" ht="26.4" customHeight="1" x14ac:dyDescent="0.25">
      <c r="A110" s="327"/>
      <c r="B110" s="327"/>
      <c r="C110" s="643"/>
      <c r="D110" s="642"/>
      <c r="E110" s="642"/>
      <c r="F110" s="642"/>
      <c r="G110" s="635"/>
      <c r="H110" s="635"/>
      <c r="I110" s="635"/>
      <c r="J110" s="635"/>
      <c r="K110" s="635"/>
      <c r="L110" s="635"/>
      <c r="M110" s="635"/>
      <c r="N110" s="635"/>
      <c r="O110" s="635"/>
      <c r="P110" s="635"/>
      <c r="Q110" s="635"/>
      <c r="R110" s="635"/>
      <c r="S110" s="635"/>
    </row>
    <row r="111" spans="1:19" ht="26.4" customHeight="1" x14ac:dyDescent="0.25">
      <c r="A111" s="327"/>
      <c r="B111" s="327"/>
      <c r="C111" s="643"/>
      <c r="D111" s="642"/>
      <c r="E111" s="642"/>
      <c r="F111" s="642"/>
      <c r="G111" s="635"/>
      <c r="H111" s="635"/>
      <c r="I111" s="635"/>
      <c r="J111" s="635"/>
      <c r="K111" s="635"/>
      <c r="L111" s="635"/>
      <c r="M111" s="635"/>
      <c r="N111" s="635"/>
      <c r="O111" s="635"/>
      <c r="P111" s="635"/>
      <c r="Q111" s="635"/>
      <c r="R111" s="635"/>
      <c r="S111" s="635"/>
    </row>
    <row r="112" spans="1:19" ht="26.4" customHeight="1" x14ac:dyDescent="0.25">
      <c r="A112" s="327"/>
      <c r="B112" s="327"/>
      <c r="C112" s="643"/>
      <c r="D112" s="642"/>
      <c r="E112" s="642"/>
      <c r="F112" s="642"/>
      <c r="G112" s="635"/>
      <c r="H112" s="635"/>
      <c r="I112" s="635"/>
      <c r="J112" s="635"/>
      <c r="K112" s="635"/>
      <c r="L112" s="635"/>
      <c r="M112" s="635"/>
      <c r="N112" s="635"/>
      <c r="O112" s="635"/>
      <c r="P112" s="635"/>
      <c r="Q112" s="635"/>
      <c r="R112" s="635"/>
      <c r="S112" s="635"/>
    </row>
    <row r="113" spans="1:19" ht="26.4" customHeight="1" x14ac:dyDescent="0.25">
      <c r="A113" s="327"/>
      <c r="B113" s="327"/>
      <c r="C113" s="643"/>
      <c r="D113" s="642"/>
      <c r="E113" s="642"/>
      <c r="F113" s="642"/>
      <c r="G113" s="635"/>
      <c r="H113" s="635"/>
      <c r="I113" s="635"/>
      <c r="J113" s="635"/>
      <c r="K113" s="635"/>
      <c r="L113" s="635"/>
      <c r="M113" s="635"/>
      <c r="N113" s="635"/>
      <c r="O113" s="635"/>
      <c r="P113" s="635"/>
      <c r="Q113" s="635"/>
      <c r="R113" s="635"/>
      <c r="S113" s="635"/>
    </row>
    <row r="114" spans="1:19" ht="26.4" customHeight="1" x14ac:dyDescent="0.25">
      <c r="A114" s="327"/>
      <c r="B114" s="327"/>
      <c r="C114" s="643"/>
      <c r="D114" s="642"/>
      <c r="E114" s="642"/>
      <c r="F114" s="642"/>
      <c r="G114" s="635"/>
      <c r="H114" s="635"/>
      <c r="I114" s="635"/>
      <c r="J114" s="635"/>
      <c r="K114" s="635"/>
      <c r="L114" s="635"/>
      <c r="M114" s="635"/>
      <c r="N114" s="635"/>
      <c r="O114" s="635"/>
      <c r="P114" s="635"/>
      <c r="Q114" s="635"/>
      <c r="R114" s="635"/>
      <c r="S114" s="635"/>
    </row>
    <row r="115" spans="1:19" ht="26.4" customHeight="1" x14ac:dyDescent="0.25">
      <c r="A115" s="327"/>
      <c r="B115" s="327"/>
      <c r="C115" s="643"/>
      <c r="D115" s="642"/>
      <c r="E115" s="642"/>
      <c r="F115" s="642"/>
      <c r="G115" s="635"/>
      <c r="H115" s="635"/>
      <c r="I115" s="635"/>
      <c r="J115" s="635"/>
      <c r="K115" s="635"/>
      <c r="L115" s="635"/>
      <c r="M115" s="635"/>
      <c r="N115" s="635"/>
      <c r="O115" s="635"/>
      <c r="P115" s="635"/>
      <c r="Q115" s="635"/>
      <c r="R115" s="635"/>
      <c r="S115" s="635"/>
    </row>
    <row r="116" spans="1:19" ht="26.4" customHeight="1" x14ac:dyDescent="0.25">
      <c r="A116" s="327"/>
      <c r="B116" s="327"/>
      <c r="C116" s="643"/>
      <c r="D116" s="642"/>
      <c r="E116" s="642"/>
      <c r="F116" s="642"/>
      <c r="G116" s="635"/>
      <c r="H116" s="635"/>
      <c r="I116" s="635"/>
      <c r="J116" s="635"/>
      <c r="K116" s="635"/>
      <c r="L116" s="635"/>
      <c r="M116" s="635"/>
      <c r="N116" s="635"/>
      <c r="O116" s="635"/>
      <c r="P116" s="635"/>
      <c r="Q116" s="635"/>
      <c r="R116" s="635"/>
      <c r="S116" s="635"/>
    </row>
    <row r="117" spans="1:19" ht="26.4" customHeight="1" x14ac:dyDescent="0.25">
      <c r="A117" s="327"/>
      <c r="B117" s="327"/>
      <c r="C117" s="643"/>
      <c r="D117" s="642"/>
      <c r="E117" s="642"/>
      <c r="F117" s="642"/>
      <c r="G117" s="635"/>
      <c r="H117" s="635"/>
      <c r="I117" s="635"/>
      <c r="J117" s="635"/>
      <c r="K117" s="635"/>
      <c r="L117" s="635"/>
      <c r="M117" s="635"/>
      <c r="N117" s="635"/>
      <c r="O117" s="635"/>
      <c r="P117" s="635"/>
      <c r="Q117" s="635"/>
      <c r="R117" s="635"/>
      <c r="S117" s="635"/>
    </row>
    <row r="118" spans="1:19" ht="26.4" customHeight="1" x14ac:dyDescent="0.25">
      <c r="A118" s="327"/>
      <c r="B118" s="327"/>
      <c r="C118" s="643"/>
      <c r="D118" s="642"/>
      <c r="E118" s="642"/>
      <c r="F118" s="642"/>
      <c r="G118" s="635"/>
      <c r="H118" s="635"/>
      <c r="I118" s="635"/>
      <c r="J118" s="635"/>
      <c r="K118" s="635"/>
      <c r="L118" s="635"/>
      <c r="M118" s="635"/>
      <c r="N118" s="635"/>
      <c r="O118" s="635"/>
      <c r="P118" s="635"/>
      <c r="Q118" s="635"/>
      <c r="R118" s="635"/>
      <c r="S118" s="635"/>
    </row>
    <row r="119" spans="1:19" ht="26.4" customHeight="1" x14ac:dyDescent="0.25">
      <c r="A119" s="327"/>
      <c r="B119" s="327"/>
      <c r="C119" s="643"/>
      <c r="D119" s="642"/>
      <c r="E119" s="642"/>
      <c r="F119" s="642"/>
      <c r="G119" s="635"/>
      <c r="H119" s="635"/>
      <c r="I119" s="635"/>
      <c r="J119" s="635"/>
      <c r="K119" s="635"/>
      <c r="L119" s="635"/>
      <c r="M119" s="635"/>
      <c r="N119" s="635"/>
      <c r="O119" s="635"/>
      <c r="P119" s="635"/>
      <c r="Q119" s="635"/>
      <c r="R119" s="635"/>
      <c r="S119" s="635"/>
    </row>
    <row r="120" spans="1:19" ht="26.4" customHeight="1" x14ac:dyDescent="0.25">
      <c r="A120" s="327"/>
      <c r="B120" s="327"/>
      <c r="C120" s="643"/>
      <c r="D120" s="642"/>
      <c r="E120" s="642"/>
      <c r="F120" s="642"/>
      <c r="G120" s="635"/>
      <c r="H120" s="635"/>
      <c r="I120" s="635"/>
      <c r="J120" s="635"/>
      <c r="K120" s="635"/>
      <c r="L120" s="635"/>
      <c r="M120" s="635"/>
      <c r="N120" s="635"/>
      <c r="O120" s="635"/>
      <c r="P120" s="635"/>
      <c r="Q120" s="635"/>
      <c r="R120" s="635"/>
      <c r="S120" s="635"/>
    </row>
    <row r="121" spans="1:19" ht="26.4" customHeight="1" x14ac:dyDescent="0.25">
      <c r="A121" s="327"/>
      <c r="B121" s="327"/>
      <c r="C121" s="643"/>
      <c r="D121" s="642"/>
      <c r="E121" s="642"/>
      <c r="F121" s="642"/>
      <c r="G121" s="635"/>
      <c r="H121" s="635"/>
      <c r="I121" s="635"/>
      <c r="J121" s="635"/>
      <c r="K121" s="635"/>
      <c r="L121" s="635"/>
      <c r="M121" s="635"/>
      <c r="N121" s="635"/>
      <c r="O121" s="635"/>
      <c r="P121" s="635"/>
      <c r="Q121" s="635"/>
      <c r="R121" s="635"/>
      <c r="S121" s="635"/>
    </row>
    <row r="122" spans="1:19" ht="26.4" customHeight="1" x14ac:dyDescent="0.25">
      <c r="A122" s="327"/>
      <c r="B122" s="327"/>
      <c r="C122" s="643"/>
      <c r="D122" s="642"/>
      <c r="E122" s="642"/>
      <c r="F122" s="642"/>
      <c r="G122" s="635"/>
      <c r="H122" s="635"/>
      <c r="I122" s="635"/>
      <c r="J122" s="635"/>
      <c r="K122" s="635"/>
      <c r="L122" s="635"/>
      <c r="M122" s="635"/>
      <c r="N122" s="635"/>
      <c r="O122" s="635"/>
      <c r="P122" s="635"/>
      <c r="Q122" s="635"/>
      <c r="R122" s="635"/>
      <c r="S122" s="635"/>
    </row>
    <row r="123" spans="1:19" ht="26.4" customHeight="1" x14ac:dyDescent="0.25">
      <c r="A123" s="327"/>
      <c r="B123" s="327"/>
      <c r="C123" s="643"/>
      <c r="D123" s="642"/>
      <c r="E123" s="642"/>
      <c r="F123" s="642"/>
      <c r="G123" s="635"/>
      <c r="H123" s="635"/>
      <c r="I123" s="635"/>
      <c r="J123" s="635"/>
      <c r="K123" s="635"/>
      <c r="L123" s="635"/>
      <c r="M123" s="635"/>
      <c r="N123" s="635"/>
      <c r="O123" s="635"/>
      <c r="P123" s="635"/>
      <c r="Q123" s="635"/>
      <c r="R123" s="635"/>
      <c r="S123" s="635"/>
    </row>
    <row r="124" spans="1:19" ht="26.4" customHeight="1" x14ac:dyDescent="0.25">
      <c r="A124" s="327"/>
      <c r="B124" s="327"/>
      <c r="C124" s="643"/>
      <c r="D124" s="642"/>
      <c r="E124" s="642"/>
      <c r="F124" s="642"/>
      <c r="G124" s="635"/>
      <c r="H124" s="635"/>
      <c r="I124" s="635"/>
      <c r="J124" s="635"/>
      <c r="K124" s="635"/>
      <c r="L124" s="635"/>
      <c r="M124" s="635"/>
      <c r="N124" s="635"/>
      <c r="O124" s="635"/>
      <c r="P124" s="635"/>
      <c r="Q124" s="635"/>
      <c r="R124" s="635"/>
      <c r="S124" s="635"/>
    </row>
    <row r="125" spans="1:19" ht="26.4" customHeight="1" x14ac:dyDescent="0.25">
      <c r="A125" s="327"/>
      <c r="B125" s="327"/>
      <c r="C125" s="643"/>
      <c r="D125" s="642"/>
      <c r="E125" s="642"/>
      <c r="F125" s="642"/>
      <c r="G125" s="635"/>
      <c r="H125" s="635"/>
      <c r="I125" s="635"/>
      <c r="J125" s="635"/>
      <c r="K125" s="635"/>
      <c r="L125" s="635"/>
      <c r="M125" s="635"/>
      <c r="N125" s="635"/>
      <c r="O125" s="635"/>
      <c r="P125" s="635"/>
      <c r="Q125" s="635"/>
      <c r="R125" s="635"/>
      <c r="S125" s="635"/>
    </row>
    <row r="126" spans="1:19" ht="26.4" customHeight="1" x14ac:dyDescent="0.25">
      <c r="A126" s="327"/>
      <c r="B126" s="327"/>
      <c r="C126" s="643"/>
      <c r="D126" s="642"/>
      <c r="E126" s="642"/>
      <c r="F126" s="642"/>
      <c r="G126" s="635"/>
      <c r="H126" s="635"/>
      <c r="I126" s="635"/>
      <c r="J126" s="635"/>
      <c r="K126" s="635"/>
      <c r="L126" s="635"/>
      <c r="M126" s="635"/>
      <c r="N126" s="635"/>
      <c r="O126" s="635"/>
      <c r="P126" s="635"/>
      <c r="Q126" s="635"/>
      <c r="R126" s="635"/>
      <c r="S126" s="635"/>
    </row>
    <row r="127" spans="1:19" ht="26.4" customHeight="1" x14ac:dyDescent="0.25">
      <c r="A127" s="327"/>
      <c r="B127" s="327"/>
      <c r="C127" s="643"/>
      <c r="D127" s="642"/>
      <c r="E127" s="642"/>
      <c r="F127" s="642"/>
      <c r="G127" s="635"/>
      <c r="H127" s="635"/>
      <c r="I127" s="635"/>
      <c r="J127" s="635"/>
      <c r="K127" s="635"/>
      <c r="L127" s="635"/>
      <c r="M127" s="635"/>
      <c r="N127" s="635"/>
      <c r="O127" s="635"/>
      <c r="P127" s="635"/>
      <c r="Q127" s="635"/>
      <c r="R127" s="635"/>
      <c r="S127" s="635"/>
    </row>
    <row r="128" spans="1:19" ht="26.4" customHeight="1" x14ac:dyDescent="0.25">
      <c r="A128" s="327"/>
      <c r="B128" s="327"/>
      <c r="C128" s="643"/>
      <c r="D128" s="642"/>
      <c r="E128" s="642"/>
      <c r="F128" s="642"/>
      <c r="G128" s="635"/>
      <c r="H128" s="635"/>
      <c r="I128" s="635"/>
      <c r="J128" s="635"/>
      <c r="K128" s="635"/>
      <c r="L128" s="635"/>
      <c r="M128" s="635"/>
      <c r="N128" s="635"/>
      <c r="O128" s="635"/>
      <c r="P128" s="635"/>
      <c r="Q128" s="635"/>
      <c r="R128" s="635"/>
      <c r="S128" s="635"/>
    </row>
    <row r="129" spans="1:19" ht="26.4" customHeight="1" x14ac:dyDescent="0.25">
      <c r="A129" s="327"/>
      <c r="B129" s="327"/>
      <c r="C129" s="643"/>
      <c r="D129" s="642"/>
      <c r="E129" s="642"/>
      <c r="F129" s="642"/>
      <c r="G129" s="635"/>
      <c r="H129" s="635"/>
      <c r="I129" s="635"/>
      <c r="J129" s="635"/>
      <c r="K129" s="635"/>
      <c r="L129" s="635"/>
      <c r="M129" s="635"/>
      <c r="N129" s="635"/>
      <c r="O129" s="635"/>
      <c r="P129" s="635"/>
      <c r="Q129" s="635"/>
      <c r="R129" s="635"/>
      <c r="S129" s="635"/>
    </row>
    <row r="130" spans="1:19" ht="26.4" customHeight="1" x14ac:dyDescent="0.25">
      <c r="A130" s="327"/>
      <c r="B130" s="327"/>
      <c r="C130" s="643"/>
      <c r="D130" s="642"/>
      <c r="E130" s="642"/>
      <c r="F130" s="642"/>
      <c r="G130" s="635"/>
      <c r="H130" s="635"/>
      <c r="I130" s="635"/>
      <c r="J130" s="635"/>
      <c r="K130" s="635"/>
      <c r="L130" s="635"/>
      <c r="M130" s="635"/>
      <c r="N130" s="635"/>
      <c r="O130" s="635"/>
      <c r="P130" s="635"/>
      <c r="Q130" s="635"/>
      <c r="R130" s="635"/>
      <c r="S130" s="635"/>
    </row>
    <row r="131" spans="1:19" ht="26.4" customHeight="1" x14ac:dyDescent="0.25">
      <c r="A131" s="327"/>
      <c r="B131" s="327"/>
      <c r="C131" s="643"/>
      <c r="D131" s="642"/>
      <c r="E131" s="642"/>
      <c r="F131" s="642"/>
      <c r="G131" s="635"/>
      <c r="H131" s="635"/>
      <c r="I131" s="635"/>
      <c r="J131" s="635"/>
      <c r="K131" s="635"/>
      <c r="L131" s="635"/>
      <c r="M131" s="635"/>
      <c r="N131" s="635"/>
      <c r="O131" s="635"/>
      <c r="P131" s="635"/>
      <c r="Q131" s="635"/>
      <c r="R131" s="635"/>
      <c r="S131" s="635"/>
    </row>
    <row r="132" spans="1:19" ht="26.4" customHeight="1" x14ac:dyDescent="0.25">
      <c r="A132" s="327"/>
      <c r="B132" s="327"/>
      <c r="C132" s="643"/>
      <c r="D132" s="642"/>
      <c r="E132" s="642"/>
      <c r="F132" s="642"/>
      <c r="G132" s="635"/>
      <c r="H132" s="635"/>
      <c r="I132" s="635"/>
      <c r="J132" s="635"/>
      <c r="K132" s="635"/>
      <c r="L132" s="635"/>
      <c r="M132" s="635"/>
      <c r="N132" s="635"/>
      <c r="O132" s="635"/>
      <c r="P132" s="635"/>
      <c r="Q132" s="635"/>
      <c r="R132" s="635"/>
      <c r="S132" s="635"/>
    </row>
    <row r="133" spans="1:19" ht="26.4" customHeight="1" x14ac:dyDescent="0.25">
      <c r="A133" s="327"/>
      <c r="B133" s="327"/>
      <c r="C133" s="643"/>
      <c r="D133" s="642"/>
      <c r="E133" s="642"/>
      <c r="F133" s="642"/>
      <c r="G133" s="635"/>
      <c r="H133" s="635"/>
      <c r="I133" s="635"/>
      <c r="J133" s="635"/>
      <c r="K133" s="635"/>
      <c r="L133" s="635"/>
      <c r="M133" s="635"/>
      <c r="N133" s="635"/>
      <c r="O133" s="635"/>
      <c r="P133" s="635"/>
      <c r="Q133" s="635"/>
      <c r="R133" s="635"/>
      <c r="S133" s="635"/>
    </row>
    <row r="134" spans="1:19" ht="26.4" customHeight="1" x14ac:dyDescent="0.25">
      <c r="A134" s="327"/>
      <c r="B134" s="327"/>
      <c r="C134" s="643"/>
      <c r="D134" s="642"/>
      <c r="E134" s="642"/>
      <c r="F134" s="642"/>
      <c r="G134" s="635"/>
      <c r="H134" s="635"/>
      <c r="I134" s="635"/>
      <c r="J134" s="635"/>
      <c r="K134" s="635"/>
      <c r="L134" s="635"/>
      <c r="M134" s="635"/>
      <c r="N134" s="635"/>
      <c r="O134" s="635"/>
      <c r="P134" s="635"/>
      <c r="Q134" s="635"/>
      <c r="R134" s="635"/>
      <c r="S134" s="635"/>
    </row>
    <row r="135" spans="1:19" ht="26.4" customHeight="1" x14ac:dyDescent="0.25">
      <c r="A135" s="327"/>
      <c r="B135" s="327"/>
      <c r="C135" s="643"/>
      <c r="D135" s="642"/>
      <c r="E135" s="642"/>
      <c r="F135" s="642"/>
      <c r="G135" s="635"/>
      <c r="H135" s="635"/>
      <c r="I135" s="635"/>
      <c r="J135" s="635"/>
      <c r="K135" s="635"/>
      <c r="L135" s="635"/>
      <c r="M135" s="635"/>
      <c r="N135" s="635"/>
      <c r="O135" s="635"/>
      <c r="P135" s="635"/>
      <c r="Q135" s="635"/>
      <c r="R135" s="635"/>
      <c r="S135" s="635"/>
    </row>
    <row r="136" spans="1:19" ht="26.4" customHeight="1" x14ac:dyDescent="0.25">
      <c r="A136" s="327"/>
      <c r="B136" s="327"/>
      <c r="C136" s="643"/>
      <c r="D136" s="642"/>
      <c r="E136" s="642"/>
      <c r="F136" s="642"/>
      <c r="G136" s="635"/>
      <c r="H136" s="635"/>
      <c r="I136" s="635"/>
      <c r="J136" s="635"/>
      <c r="K136" s="635"/>
      <c r="L136" s="635"/>
      <c r="M136" s="635"/>
      <c r="N136" s="635"/>
      <c r="O136" s="635"/>
      <c r="P136" s="635"/>
      <c r="Q136" s="635"/>
      <c r="R136" s="635"/>
      <c r="S136" s="635"/>
    </row>
    <row r="137" spans="1:19" ht="26.4" customHeight="1" x14ac:dyDescent="0.25">
      <c r="A137" s="327"/>
      <c r="B137" s="327"/>
      <c r="C137" s="643"/>
      <c r="D137" s="642"/>
      <c r="E137" s="642"/>
      <c r="F137" s="642"/>
      <c r="G137" s="635"/>
      <c r="H137" s="635"/>
      <c r="I137" s="635"/>
      <c r="J137" s="635"/>
      <c r="K137" s="635"/>
      <c r="L137" s="635"/>
      <c r="M137" s="635"/>
      <c r="N137" s="635"/>
      <c r="O137" s="635"/>
      <c r="P137" s="635"/>
      <c r="Q137" s="635"/>
      <c r="R137" s="635"/>
      <c r="S137" s="635"/>
    </row>
    <row r="138" spans="1:19" ht="26.4" customHeight="1" x14ac:dyDescent="0.25">
      <c r="A138" s="327"/>
      <c r="B138" s="327"/>
      <c r="C138" s="643"/>
      <c r="D138" s="642"/>
      <c r="E138" s="642"/>
      <c r="F138" s="642"/>
      <c r="G138" s="635"/>
      <c r="H138" s="635"/>
      <c r="I138" s="635"/>
      <c r="J138" s="635"/>
      <c r="K138" s="635"/>
      <c r="L138" s="635"/>
      <c r="M138" s="635"/>
      <c r="N138" s="635"/>
      <c r="O138" s="635"/>
      <c r="P138" s="635"/>
      <c r="Q138" s="635"/>
      <c r="R138" s="635"/>
      <c r="S138" s="635"/>
    </row>
    <row r="139" spans="1:19" ht="26.4" customHeight="1" x14ac:dyDescent="0.25">
      <c r="A139" s="327"/>
      <c r="B139" s="327"/>
      <c r="C139" s="643"/>
      <c r="D139" s="642"/>
      <c r="E139" s="642"/>
      <c r="F139" s="642"/>
      <c r="G139" s="635"/>
      <c r="H139" s="635"/>
      <c r="I139" s="635"/>
      <c r="J139" s="635"/>
      <c r="K139" s="635"/>
      <c r="L139" s="635"/>
      <c r="M139" s="635"/>
      <c r="N139" s="635"/>
      <c r="O139" s="635"/>
      <c r="P139" s="635"/>
      <c r="Q139" s="635"/>
      <c r="R139" s="635"/>
      <c r="S139" s="635"/>
    </row>
    <row r="140" spans="1:19" ht="26.4" customHeight="1" x14ac:dyDescent="0.25">
      <c r="A140" s="327"/>
      <c r="B140" s="327"/>
      <c r="C140" s="643"/>
      <c r="D140" s="642"/>
      <c r="E140" s="642"/>
      <c r="F140" s="642"/>
      <c r="G140" s="635"/>
      <c r="H140" s="635"/>
      <c r="I140" s="635"/>
      <c r="J140" s="635"/>
      <c r="K140" s="635"/>
      <c r="L140" s="635"/>
      <c r="M140" s="635"/>
      <c r="N140" s="635"/>
      <c r="O140" s="635"/>
      <c r="P140" s="635"/>
      <c r="Q140" s="635"/>
      <c r="R140" s="635"/>
      <c r="S140" s="635"/>
    </row>
    <row r="141" spans="1:19" ht="26.4" customHeight="1" x14ac:dyDescent="0.25">
      <c r="A141" s="327"/>
      <c r="B141" s="327"/>
      <c r="C141" s="643"/>
      <c r="D141" s="642"/>
      <c r="E141" s="642"/>
      <c r="F141" s="642"/>
      <c r="G141" s="635"/>
      <c r="H141" s="635"/>
      <c r="I141" s="635"/>
      <c r="J141" s="635"/>
      <c r="K141" s="635"/>
      <c r="L141" s="635"/>
      <c r="M141" s="635"/>
      <c r="N141" s="635"/>
      <c r="O141" s="635"/>
      <c r="P141" s="635"/>
      <c r="Q141" s="635"/>
      <c r="R141" s="635"/>
      <c r="S141" s="635"/>
    </row>
    <row r="142" spans="1:19" ht="26.4" customHeight="1" x14ac:dyDescent="0.25">
      <c r="A142" s="327"/>
      <c r="B142" s="327"/>
      <c r="C142" s="643"/>
      <c r="D142" s="642"/>
      <c r="E142" s="642"/>
      <c r="F142" s="642"/>
      <c r="G142" s="635"/>
      <c r="H142" s="635"/>
      <c r="I142" s="635"/>
      <c r="J142" s="635"/>
      <c r="K142" s="635"/>
      <c r="L142" s="635"/>
      <c r="M142" s="635"/>
      <c r="N142" s="635"/>
      <c r="O142" s="635"/>
      <c r="P142" s="635"/>
      <c r="Q142" s="635"/>
      <c r="R142" s="635"/>
      <c r="S142" s="635"/>
    </row>
    <row r="143" spans="1:19" ht="26.4" customHeight="1" x14ac:dyDescent="0.25">
      <c r="A143" s="327"/>
      <c r="B143" s="327"/>
      <c r="C143" s="643"/>
      <c r="D143" s="642"/>
      <c r="E143" s="642"/>
      <c r="F143" s="642"/>
      <c r="G143" s="635"/>
      <c r="H143" s="635"/>
      <c r="I143" s="635"/>
      <c r="J143" s="635"/>
      <c r="K143" s="635"/>
      <c r="L143" s="635"/>
      <c r="M143" s="635"/>
      <c r="N143" s="635"/>
      <c r="O143" s="635"/>
      <c r="P143" s="635"/>
      <c r="Q143" s="635"/>
      <c r="R143" s="635"/>
      <c r="S143" s="635"/>
    </row>
    <row r="144" spans="1:19" ht="26.4" customHeight="1" thickBot="1" x14ac:dyDescent="0.3">
      <c r="A144" s="629"/>
      <c r="B144" s="629"/>
      <c r="C144" s="639"/>
      <c r="D144" s="101"/>
      <c r="E144" s="101"/>
      <c r="F144" s="101"/>
      <c r="G144" s="101"/>
      <c r="H144" s="101"/>
      <c r="I144" s="101"/>
      <c r="J144" s="101"/>
      <c r="K144" s="101"/>
      <c r="L144" s="101"/>
      <c r="M144" s="101"/>
      <c r="N144" s="101"/>
      <c r="O144" s="101"/>
      <c r="P144" s="101"/>
      <c r="Q144" s="101"/>
      <c r="R144" s="101"/>
      <c r="S144" s="101"/>
    </row>
    <row r="145" spans="1:6" x14ac:dyDescent="0.25">
      <c r="A145" s="582"/>
      <c r="B145" s="582"/>
      <c r="C145" s="582"/>
    </row>
    <row r="146" spans="1:6" x14ac:dyDescent="0.25">
      <c r="A146" s="673" t="s">
        <v>826</v>
      </c>
      <c r="B146" s="673"/>
      <c r="C146" s="596"/>
      <c r="D146" s="596"/>
      <c r="E146" s="596"/>
      <c r="F146" s="596"/>
    </row>
    <row r="147" spans="1:6" x14ac:dyDescent="0.25">
      <c r="A147" s="597"/>
      <c r="B147" s="597"/>
      <c r="C147" s="597"/>
    </row>
    <row r="148" spans="1:6" x14ac:dyDescent="0.25">
      <c r="A148" s="677" t="s">
        <v>1023</v>
      </c>
      <c r="B148" s="677"/>
      <c r="C148" s="677"/>
      <c r="D148" s="677"/>
      <c r="E148" s="677"/>
      <c r="F148" s="677"/>
    </row>
    <row r="149" spans="1:6" x14ac:dyDescent="0.25">
      <c r="A149" s="597"/>
      <c r="B149" s="597"/>
      <c r="C149" s="597"/>
    </row>
    <row r="150" spans="1:6" x14ac:dyDescent="0.25">
      <c r="A150" s="674" t="s">
        <v>93</v>
      </c>
      <c r="B150" s="674"/>
      <c r="C150" s="674"/>
      <c r="D150" s="674"/>
      <c r="E150" s="674"/>
      <c r="F150" s="674"/>
    </row>
    <row r="151" spans="1:6" x14ac:dyDescent="0.25">
      <c r="A151" s="673" t="s">
        <v>94</v>
      </c>
      <c r="B151" s="673"/>
      <c r="C151" s="673"/>
      <c r="D151" s="673"/>
      <c r="E151" s="673"/>
      <c r="F151" s="673"/>
    </row>
  </sheetData>
  <mergeCells count="9">
    <mergeCell ref="A146:B146"/>
    <mergeCell ref="A148:F148"/>
    <mergeCell ref="A150:F150"/>
    <mergeCell ref="A151:F151"/>
    <mergeCell ref="A3:P3"/>
    <mergeCell ref="A4:O4"/>
    <mergeCell ref="A6:C7"/>
    <mergeCell ref="D6:H6"/>
    <mergeCell ref="I6:R6"/>
  </mergeCells>
  <pageMargins left="0.7" right="0.7" top="0.75" bottom="0.75" header="0.3" footer="0.3"/>
  <pageSetup paperSize="9" scale="5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3"/>
  <sheetViews>
    <sheetView showGridLines="0" workbookViewId="0"/>
  </sheetViews>
  <sheetFormatPr defaultRowHeight="13.2" x14ac:dyDescent="0.25"/>
  <cols>
    <col min="1" max="1" width="31" style="1" customWidth="1"/>
    <col min="2" max="2" width="10.59765625" style="357" customWidth="1"/>
    <col min="3" max="10" width="10.59765625" style="1" customWidth="1"/>
    <col min="11" max="11" width="6.19921875" style="1" customWidth="1"/>
    <col min="12" max="12" width="10.59765625" style="357" customWidth="1"/>
    <col min="13" max="13" width="10.69921875" style="1" customWidth="1"/>
    <col min="14" max="20" width="10.59765625" style="1" customWidth="1"/>
    <col min="21" max="21" width="6.296875" style="1" customWidth="1"/>
    <col min="22" max="22" width="10.59765625" style="357" customWidth="1"/>
    <col min="23" max="24" width="10.59765625" style="1" customWidth="1"/>
    <col min="25" max="27" width="10.69921875" style="1" customWidth="1"/>
    <col min="28" max="34" width="10.59765625" style="1" customWidth="1"/>
    <col min="35" max="121" width="9" style="1"/>
    <col min="122" max="122" width="1.19921875" style="1" customWidth="1"/>
    <col min="123" max="123" width="61" style="1" customWidth="1"/>
    <col min="124" max="128" width="12" style="1" customWidth="1"/>
    <col min="129" max="130" width="6.59765625" style="1" customWidth="1"/>
    <col min="131" max="131" width="9.296875" style="1" customWidth="1"/>
    <col min="132" max="132" width="32.19921875" style="1" customWidth="1"/>
    <col min="133" max="377" width="9" style="1"/>
    <col min="378" max="378" width="1.19921875" style="1" customWidth="1"/>
    <col min="379" max="379" width="61" style="1" customWidth="1"/>
    <col min="380" max="384" width="12" style="1" customWidth="1"/>
    <col min="385" max="386" width="6.59765625" style="1" customWidth="1"/>
    <col min="387" max="387" width="9.296875" style="1" customWidth="1"/>
    <col min="388" max="388" width="32.19921875" style="1" customWidth="1"/>
    <col min="389" max="633" width="9" style="1"/>
    <col min="634" max="634" width="1.19921875" style="1" customWidth="1"/>
    <col min="635" max="635" width="61" style="1" customWidth="1"/>
    <col min="636" max="640" width="12" style="1" customWidth="1"/>
    <col min="641" max="642" width="6.59765625" style="1" customWidth="1"/>
    <col min="643" max="643" width="9.296875" style="1" customWidth="1"/>
    <col min="644" max="644" width="32.19921875" style="1" customWidth="1"/>
    <col min="645" max="889" width="9" style="1"/>
    <col min="890" max="890" width="1.19921875" style="1" customWidth="1"/>
    <col min="891" max="891" width="61" style="1" customWidth="1"/>
    <col min="892" max="896" width="12" style="1" customWidth="1"/>
    <col min="897" max="898" width="6.59765625" style="1" customWidth="1"/>
    <col min="899" max="899" width="9.296875" style="1" customWidth="1"/>
    <col min="900" max="900" width="32.19921875" style="1" customWidth="1"/>
    <col min="901" max="1145" width="9" style="1"/>
    <col min="1146" max="1146" width="1.19921875" style="1" customWidth="1"/>
    <col min="1147" max="1147" width="61" style="1" customWidth="1"/>
    <col min="1148" max="1152" width="12" style="1" customWidth="1"/>
    <col min="1153" max="1154" width="6.59765625" style="1" customWidth="1"/>
    <col min="1155" max="1155" width="9.296875" style="1" customWidth="1"/>
    <col min="1156" max="1156" width="32.19921875" style="1" customWidth="1"/>
    <col min="1157" max="1401" width="9" style="1"/>
    <col min="1402" max="1402" width="1.19921875" style="1" customWidth="1"/>
    <col min="1403" max="1403" width="61" style="1" customWidth="1"/>
    <col min="1404" max="1408" width="12" style="1" customWidth="1"/>
    <col min="1409" max="1410" width="6.59765625" style="1" customWidth="1"/>
    <col min="1411" max="1411" width="9.296875" style="1" customWidth="1"/>
    <col min="1412" max="1412" width="32.19921875" style="1" customWidth="1"/>
    <col min="1413" max="1657" width="9" style="1"/>
    <col min="1658" max="1658" width="1.19921875" style="1" customWidth="1"/>
    <col min="1659" max="1659" width="61" style="1" customWidth="1"/>
    <col min="1660" max="1664" width="12" style="1" customWidth="1"/>
    <col min="1665" max="1666" width="6.59765625" style="1" customWidth="1"/>
    <col min="1667" max="1667" width="9.296875" style="1" customWidth="1"/>
    <col min="1668" max="1668" width="32.19921875" style="1" customWidth="1"/>
    <col min="1669" max="1913" width="9" style="1"/>
    <col min="1914" max="1914" width="1.19921875" style="1" customWidth="1"/>
    <col min="1915" max="1915" width="61" style="1" customWidth="1"/>
    <col min="1916" max="1920" width="12" style="1" customWidth="1"/>
    <col min="1921" max="1922" width="6.59765625" style="1" customWidth="1"/>
    <col min="1923" max="1923" width="9.296875" style="1" customWidth="1"/>
    <col min="1924" max="1924" width="32.19921875" style="1" customWidth="1"/>
    <col min="1925" max="2169" width="9" style="1"/>
    <col min="2170" max="2170" width="1.19921875" style="1" customWidth="1"/>
    <col min="2171" max="2171" width="61" style="1" customWidth="1"/>
    <col min="2172" max="2176" width="12" style="1" customWidth="1"/>
    <col min="2177" max="2178" width="6.59765625" style="1" customWidth="1"/>
    <col min="2179" max="2179" width="9.296875" style="1" customWidth="1"/>
    <col min="2180" max="2180" width="32.19921875" style="1" customWidth="1"/>
    <col min="2181" max="2425" width="9" style="1"/>
    <col min="2426" max="2426" width="1.19921875" style="1" customWidth="1"/>
    <col min="2427" max="2427" width="61" style="1" customWidth="1"/>
    <col min="2428" max="2432" width="12" style="1" customWidth="1"/>
    <col min="2433" max="2434" width="6.59765625" style="1" customWidth="1"/>
    <col min="2435" max="2435" width="9.296875" style="1" customWidth="1"/>
    <col min="2436" max="2436" width="32.19921875" style="1" customWidth="1"/>
    <col min="2437" max="2681" width="9" style="1"/>
    <col min="2682" max="2682" width="1.19921875" style="1" customWidth="1"/>
    <col min="2683" max="2683" width="61" style="1" customWidth="1"/>
    <col min="2684" max="2688" width="12" style="1" customWidth="1"/>
    <col min="2689" max="2690" width="6.59765625" style="1" customWidth="1"/>
    <col min="2691" max="2691" width="9.296875" style="1" customWidth="1"/>
    <col min="2692" max="2692" width="32.19921875" style="1" customWidth="1"/>
    <col min="2693" max="2937" width="9" style="1"/>
    <col min="2938" max="2938" width="1.19921875" style="1" customWidth="1"/>
    <col min="2939" max="2939" width="61" style="1" customWidth="1"/>
    <col min="2940" max="2944" width="12" style="1" customWidth="1"/>
    <col min="2945" max="2946" width="6.59765625" style="1" customWidth="1"/>
    <col min="2947" max="2947" width="9.296875" style="1" customWidth="1"/>
    <col min="2948" max="2948" width="32.19921875" style="1" customWidth="1"/>
    <col min="2949" max="3193" width="9" style="1"/>
    <col min="3194" max="3194" width="1.19921875" style="1" customWidth="1"/>
    <col min="3195" max="3195" width="61" style="1" customWidth="1"/>
    <col min="3196" max="3200" width="12" style="1" customWidth="1"/>
    <col min="3201" max="3202" width="6.59765625" style="1" customWidth="1"/>
    <col min="3203" max="3203" width="9.296875" style="1" customWidth="1"/>
    <col min="3204" max="3204" width="32.19921875" style="1" customWidth="1"/>
    <col min="3205" max="3449" width="9" style="1"/>
    <col min="3450" max="3450" width="1.19921875" style="1" customWidth="1"/>
    <col min="3451" max="3451" width="61" style="1" customWidth="1"/>
    <col min="3452" max="3456" width="12" style="1" customWidth="1"/>
    <col min="3457" max="3458" width="6.59765625" style="1" customWidth="1"/>
    <col min="3459" max="3459" width="9.296875" style="1" customWidth="1"/>
    <col min="3460" max="3460" width="32.19921875" style="1" customWidth="1"/>
    <col min="3461" max="3705" width="9" style="1"/>
    <col min="3706" max="3706" width="1.19921875" style="1" customWidth="1"/>
    <col min="3707" max="3707" width="61" style="1" customWidth="1"/>
    <col min="3708" max="3712" width="12" style="1" customWidth="1"/>
    <col min="3713" max="3714" width="6.59765625" style="1" customWidth="1"/>
    <col min="3715" max="3715" width="9.296875" style="1" customWidth="1"/>
    <col min="3716" max="3716" width="32.19921875" style="1" customWidth="1"/>
    <col min="3717" max="3961" width="9" style="1"/>
    <col min="3962" max="3962" width="1.19921875" style="1" customWidth="1"/>
    <col min="3963" max="3963" width="61" style="1" customWidth="1"/>
    <col min="3964" max="3968" width="12" style="1" customWidth="1"/>
    <col min="3969" max="3970" width="6.59765625" style="1" customWidth="1"/>
    <col min="3971" max="3971" width="9.296875" style="1" customWidth="1"/>
    <col min="3972" max="3972" width="32.19921875" style="1" customWidth="1"/>
    <col min="3973" max="4217" width="9" style="1"/>
    <col min="4218" max="4218" width="1.19921875" style="1" customWidth="1"/>
    <col min="4219" max="4219" width="61" style="1" customWidth="1"/>
    <col min="4220" max="4224" width="12" style="1" customWidth="1"/>
    <col min="4225" max="4226" width="6.59765625" style="1" customWidth="1"/>
    <col min="4227" max="4227" width="9.296875" style="1" customWidth="1"/>
    <col min="4228" max="4228" width="32.19921875" style="1" customWidth="1"/>
    <col min="4229" max="4473" width="9" style="1"/>
    <col min="4474" max="4474" width="1.19921875" style="1" customWidth="1"/>
    <col min="4475" max="4475" width="61" style="1" customWidth="1"/>
    <col min="4476" max="4480" width="12" style="1" customWidth="1"/>
    <col min="4481" max="4482" width="6.59765625" style="1" customWidth="1"/>
    <col min="4483" max="4483" width="9.296875" style="1" customWidth="1"/>
    <col min="4484" max="4484" width="32.19921875" style="1" customWidth="1"/>
    <col min="4485" max="4729" width="9" style="1"/>
    <col min="4730" max="4730" width="1.19921875" style="1" customWidth="1"/>
    <col min="4731" max="4731" width="61" style="1" customWidth="1"/>
    <col min="4732" max="4736" width="12" style="1" customWidth="1"/>
    <col min="4737" max="4738" width="6.59765625" style="1" customWidth="1"/>
    <col min="4739" max="4739" width="9.296875" style="1" customWidth="1"/>
    <col min="4740" max="4740" width="32.19921875" style="1" customWidth="1"/>
    <col min="4741" max="4985" width="9" style="1"/>
    <col min="4986" max="4986" width="1.19921875" style="1" customWidth="1"/>
    <col min="4987" max="4987" width="61" style="1" customWidth="1"/>
    <col min="4988" max="4992" width="12" style="1" customWidth="1"/>
    <col min="4993" max="4994" width="6.59765625" style="1" customWidth="1"/>
    <col min="4995" max="4995" width="9.296875" style="1" customWidth="1"/>
    <col min="4996" max="4996" width="32.19921875" style="1" customWidth="1"/>
    <col min="4997" max="5241" width="9" style="1"/>
    <col min="5242" max="5242" width="1.19921875" style="1" customWidth="1"/>
    <col min="5243" max="5243" width="61" style="1" customWidth="1"/>
    <col min="5244" max="5248" width="12" style="1" customWidth="1"/>
    <col min="5249" max="5250" width="6.59765625" style="1" customWidth="1"/>
    <col min="5251" max="5251" width="9.296875" style="1" customWidth="1"/>
    <col min="5252" max="5252" width="32.19921875" style="1" customWidth="1"/>
    <col min="5253" max="5497" width="9" style="1"/>
    <col min="5498" max="5498" width="1.19921875" style="1" customWidth="1"/>
    <col min="5499" max="5499" width="61" style="1" customWidth="1"/>
    <col min="5500" max="5504" width="12" style="1" customWidth="1"/>
    <col min="5505" max="5506" width="6.59765625" style="1" customWidth="1"/>
    <col min="5507" max="5507" width="9.296875" style="1" customWidth="1"/>
    <col min="5508" max="5508" width="32.19921875" style="1" customWidth="1"/>
    <col min="5509" max="5753" width="9" style="1"/>
    <col min="5754" max="5754" width="1.19921875" style="1" customWidth="1"/>
    <col min="5755" max="5755" width="61" style="1" customWidth="1"/>
    <col min="5756" max="5760" width="12" style="1" customWidth="1"/>
    <col min="5761" max="5762" width="6.59765625" style="1" customWidth="1"/>
    <col min="5763" max="5763" width="9.296875" style="1" customWidth="1"/>
    <col min="5764" max="5764" width="32.19921875" style="1" customWidth="1"/>
    <col min="5765" max="6009" width="9" style="1"/>
    <col min="6010" max="6010" width="1.19921875" style="1" customWidth="1"/>
    <col min="6011" max="6011" width="61" style="1" customWidth="1"/>
    <col min="6012" max="6016" width="12" style="1" customWidth="1"/>
    <col min="6017" max="6018" width="6.59765625" style="1" customWidth="1"/>
    <col min="6019" max="6019" width="9.296875" style="1" customWidth="1"/>
    <col min="6020" max="6020" width="32.19921875" style="1" customWidth="1"/>
    <col min="6021" max="6265" width="9" style="1"/>
    <col min="6266" max="6266" width="1.19921875" style="1" customWidth="1"/>
    <col min="6267" max="6267" width="61" style="1" customWidth="1"/>
    <col min="6268" max="6272" width="12" style="1" customWidth="1"/>
    <col min="6273" max="6274" width="6.59765625" style="1" customWidth="1"/>
    <col min="6275" max="6275" width="9.296875" style="1" customWidth="1"/>
    <col min="6276" max="6276" width="32.19921875" style="1" customWidth="1"/>
    <col min="6277" max="6521" width="9" style="1"/>
    <col min="6522" max="6522" width="1.19921875" style="1" customWidth="1"/>
    <col min="6523" max="6523" width="61" style="1" customWidth="1"/>
    <col min="6524" max="6528" width="12" style="1" customWidth="1"/>
    <col min="6529" max="6530" width="6.59765625" style="1" customWidth="1"/>
    <col min="6531" max="6531" width="9.296875" style="1" customWidth="1"/>
    <col min="6532" max="6532" width="32.19921875" style="1" customWidth="1"/>
    <col min="6533" max="6777" width="9" style="1"/>
    <col min="6778" max="6778" width="1.19921875" style="1" customWidth="1"/>
    <col min="6779" max="6779" width="61" style="1" customWidth="1"/>
    <col min="6780" max="6784" width="12" style="1" customWidth="1"/>
    <col min="6785" max="6786" width="6.59765625" style="1" customWidth="1"/>
    <col min="6787" max="6787" width="9.296875" style="1" customWidth="1"/>
    <col min="6788" max="6788" width="32.19921875" style="1" customWidth="1"/>
    <col min="6789" max="7033" width="9" style="1"/>
    <col min="7034" max="7034" width="1.19921875" style="1" customWidth="1"/>
    <col min="7035" max="7035" width="61" style="1" customWidth="1"/>
    <col min="7036" max="7040" width="12" style="1" customWidth="1"/>
    <col min="7041" max="7042" width="6.59765625" style="1" customWidth="1"/>
    <col min="7043" max="7043" width="9.296875" style="1" customWidth="1"/>
    <col min="7044" max="7044" width="32.19921875" style="1" customWidth="1"/>
    <col min="7045" max="7289" width="9" style="1"/>
    <col min="7290" max="7290" width="1.19921875" style="1" customWidth="1"/>
    <col min="7291" max="7291" width="61" style="1" customWidth="1"/>
    <col min="7292" max="7296" width="12" style="1" customWidth="1"/>
    <col min="7297" max="7298" width="6.59765625" style="1" customWidth="1"/>
    <col min="7299" max="7299" width="9.296875" style="1" customWidth="1"/>
    <col min="7300" max="7300" width="32.19921875" style="1" customWidth="1"/>
    <col min="7301" max="7545" width="9" style="1"/>
    <col min="7546" max="7546" width="1.19921875" style="1" customWidth="1"/>
    <col min="7547" max="7547" width="61" style="1" customWidth="1"/>
    <col min="7548" max="7552" width="12" style="1" customWidth="1"/>
    <col min="7553" max="7554" width="6.59765625" style="1" customWidth="1"/>
    <col min="7555" max="7555" width="9.296875" style="1" customWidth="1"/>
    <col min="7556" max="7556" width="32.19921875" style="1" customWidth="1"/>
    <col min="7557" max="7801" width="9" style="1"/>
    <col min="7802" max="7802" width="1.19921875" style="1" customWidth="1"/>
    <col min="7803" max="7803" width="61" style="1" customWidth="1"/>
    <col min="7804" max="7808" width="12" style="1" customWidth="1"/>
    <col min="7809" max="7810" width="6.59765625" style="1" customWidth="1"/>
    <col min="7811" max="7811" width="9.296875" style="1" customWidth="1"/>
    <col min="7812" max="7812" width="32.19921875" style="1" customWidth="1"/>
    <col min="7813" max="8057" width="9" style="1"/>
    <col min="8058" max="8058" width="1.19921875" style="1" customWidth="1"/>
    <col min="8059" max="8059" width="61" style="1" customWidth="1"/>
    <col min="8060" max="8064" width="12" style="1" customWidth="1"/>
    <col min="8065" max="8066" width="6.59765625" style="1" customWidth="1"/>
    <col min="8067" max="8067" width="9.296875" style="1" customWidth="1"/>
    <col min="8068" max="8068" width="32.19921875" style="1" customWidth="1"/>
    <col min="8069" max="8313" width="9" style="1"/>
    <col min="8314" max="8314" width="1.19921875" style="1" customWidth="1"/>
    <col min="8315" max="8315" width="61" style="1" customWidth="1"/>
    <col min="8316" max="8320" width="12" style="1" customWidth="1"/>
    <col min="8321" max="8322" width="6.59765625" style="1" customWidth="1"/>
    <col min="8323" max="8323" width="9.296875" style="1" customWidth="1"/>
    <col min="8324" max="8324" width="32.19921875" style="1" customWidth="1"/>
    <col min="8325" max="8569" width="9" style="1"/>
    <col min="8570" max="8570" width="1.19921875" style="1" customWidth="1"/>
    <col min="8571" max="8571" width="61" style="1" customWidth="1"/>
    <col min="8572" max="8576" width="12" style="1" customWidth="1"/>
    <col min="8577" max="8578" width="6.59765625" style="1" customWidth="1"/>
    <col min="8579" max="8579" width="9.296875" style="1" customWidth="1"/>
    <col min="8580" max="8580" width="32.19921875" style="1" customWidth="1"/>
    <col min="8581" max="8825" width="9" style="1"/>
    <col min="8826" max="8826" width="1.19921875" style="1" customWidth="1"/>
    <col min="8827" max="8827" width="61" style="1" customWidth="1"/>
    <col min="8828" max="8832" width="12" style="1" customWidth="1"/>
    <col min="8833" max="8834" width="6.59765625" style="1" customWidth="1"/>
    <col min="8835" max="8835" width="9.296875" style="1" customWidth="1"/>
    <col min="8836" max="8836" width="32.19921875" style="1" customWidth="1"/>
    <col min="8837" max="9081" width="9" style="1"/>
    <col min="9082" max="9082" width="1.19921875" style="1" customWidth="1"/>
    <col min="9083" max="9083" width="61" style="1" customWidth="1"/>
    <col min="9084" max="9088" width="12" style="1" customWidth="1"/>
    <col min="9089" max="9090" width="6.59765625" style="1" customWidth="1"/>
    <col min="9091" max="9091" width="9.296875" style="1" customWidth="1"/>
    <col min="9092" max="9092" width="32.19921875" style="1" customWidth="1"/>
    <col min="9093" max="9337" width="9" style="1"/>
    <col min="9338" max="9338" width="1.19921875" style="1" customWidth="1"/>
    <col min="9339" max="9339" width="61" style="1" customWidth="1"/>
    <col min="9340" max="9344" width="12" style="1" customWidth="1"/>
    <col min="9345" max="9346" width="6.59765625" style="1" customWidth="1"/>
    <col min="9347" max="9347" width="9.296875" style="1" customWidth="1"/>
    <col min="9348" max="9348" width="32.19921875" style="1" customWidth="1"/>
    <col min="9349" max="9593" width="9" style="1"/>
    <col min="9594" max="9594" width="1.19921875" style="1" customWidth="1"/>
    <col min="9595" max="9595" width="61" style="1" customWidth="1"/>
    <col min="9596" max="9600" width="12" style="1" customWidth="1"/>
    <col min="9601" max="9602" width="6.59765625" style="1" customWidth="1"/>
    <col min="9603" max="9603" width="9.296875" style="1" customWidth="1"/>
    <col min="9604" max="9604" width="32.19921875" style="1" customWidth="1"/>
    <col min="9605" max="9849" width="9" style="1"/>
    <col min="9850" max="9850" width="1.19921875" style="1" customWidth="1"/>
    <col min="9851" max="9851" width="61" style="1" customWidth="1"/>
    <col min="9852" max="9856" width="12" style="1" customWidth="1"/>
    <col min="9857" max="9858" width="6.59765625" style="1" customWidth="1"/>
    <col min="9859" max="9859" width="9.296875" style="1" customWidth="1"/>
    <col min="9860" max="9860" width="32.19921875" style="1" customWidth="1"/>
    <col min="9861" max="10105" width="9" style="1"/>
    <col min="10106" max="10106" width="1.19921875" style="1" customWidth="1"/>
    <col min="10107" max="10107" width="61" style="1" customWidth="1"/>
    <col min="10108" max="10112" width="12" style="1" customWidth="1"/>
    <col min="10113" max="10114" width="6.59765625" style="1" customWidth="1"/>
    <col min="10115" max="10115" width="9.296875" style="1" customWidth="1"/>
    <col min="10116" max="10116" width="32.19921875" style="1" customWidth="1"/>
    <col min="10117" max="10361" width="9" style="1"/>
    <col min="10362" max="10362" width="1.19921875" style="1" customWidth="1"/>
    <col min="10363" max="10363" width="61" style="1" customWidth="1"/>
    <col min="10364" max="10368" width="12" style="1" customWidth="1"/>
    <col min="10369" max="10370" width="6.59765625" style="1" customWidth="1"/>
    <col min="10371" max="10371" width="9.296875" style="1" customWidth="1"/>
    <col min="10372" max="10372" width="32.19921875" style="1" customWidth="1"/>
    <col min="10373" max="10617" width="9" style="1"/>
    <col min="10618" max="10618" width="1.19921875" style="1" customWidth="1"/>
    <col min="10619" max="10619" width="61" style="1" customWidth="1"/>
    <col min="10620" max="10624" width="12" style="1" customWidth="1"/>
    <col min="10625" max="10626" width="6.59765625" style="1" customWidth="1"/>
    <col min="10627" max="10627" width="9.296875" style="1" customWidth="1"/>
    <col min="10628" max="10628" width="32.19921875" style="1" customWidth="1"/>
    <col min="10629" max="10873" width="9" style="1"/>
    <col min="10874" max="10874" width="1.19921875" style="1" customWidth="1"/>
    <col min="10875" max="10875" width="61" style="1" customWidth="1"/>
    <col min="10876" max="10880" width="12" style="1" customWidth="1"/>
    <col min="10881" max="10882" width="6.59765625" style="1" customWidth="1"/>
    <col min="10883" max="10883" width="9.296875" style="1" customWidth="1"/>
    <col min="10884" max="10884" width="32.19921875" style="1" customWidth="1"/>
    <col min="10885" max="11129" width="9" style="1"/>
    <col min="11130" max="11130" width="1.19921875" style="1" customWidth="1"/>
    <col min="11131" max="11131" width="61" style="1" customWidth="1"/>
    <col min="11132" max="11136" width="12" style="1" customWidth="1"/>
    <col min="11137" max="11138" width="6.59765625" style="1" customWidth="1"/>
    <col min="11139" max="11139" width="9.296875" style="1" customWidth="1"/>
    <col min="11140" max="11140" width="32.19921875" style="1" customWidth="1"/>
    <col min="11141" max="11385" width="9" style="1"/>
    <col min="11386" max="11386" width="1.19921875" style="1" customWidth="1"/>
    <col min="11387" max="11387" width="61" style="1" customWidth="1"/>
    <col min="11388" max="11392" width="12" style="1" customWidth="1"/>
    <col min="11393" max="11394" width="6.59765625" style="1" customWidth="1"/>
    <col min="11395" max="11395" width="9.296875" style="1" customWidth="1"/>
    <col min="11396" max="11396" width="32.19921875" style="1" customWidth="1"/>
    <col min="11397" max="11641" width="9" style="1"/>
    <col min="11642" max="11642" width="1.19921875" style="1" customWidth="1"/>
    <col min="11643" max="11643" width="61" style="1" customWidth="1"/>
    <col min="11644" max="11648" width="12" style="1" customWidth="1"/>
    <col min="11649" max="11650" width="6.59765625" style="1" customWidth="1"/>
    <col min="11651" max="11651" width="9.296875" style="1" customWidth="1"/>
    <col min="11652" max="11652" width="32.19921875" style="1" customWidth="1"/>
    <col min="11653" max="11897" width="9" style="1"/>
    <col min="11898" max="11898" width="1.19921875" style="1" customWidth="1"/>
    <col min="11899" max="11899" width="61" style="1" customWidth="1"/>
    <col min="11900" max="11904" width="12" style="1" customWidth="1"/>
    <col min="11905" max="11906" width="6.59765625" style="1" customWidth="1"/>
    <col min="11907" max="11907" width="9.296875" style="1" customWidth="1"/>
    <col min="11908" max="11908" width="32.19921875" style="1" customWidth="1"/>
    <col min="11909" max="12153" width="9" style="1"/>
    <col min="12154" max="12154" width="1.19921875" style="1" customWidth="1"/>
    <col min="12155" max="12155" width="61" style="1" customWidth="1"/>
    <col min="12156" max="12160" width="12" style="1" customWidth="1"/>
    <col min="12161" max="12162" width="6.59765625" style="1" customWidth="1"/>
    <col min="12163" max="12163" width="9.296875" style="1" customWidth="1"/>
    <col min="12164" max="12164" width="32.19921875" style="1" customWidth="1"/>
    <col min="12165" max="12409" width="9" style="1"/>
    <col min="12410" max="12410" width="1.19921875" style="1" customWidth="1"/>
    <col min="12411" max="12411" width="61" style="1" customWidth="1"/>
    <col min="12412" max="12416" width="12" style="1" customWidth="1"/>
    <col min="12417" max="12418" width="6.59765625" style="1" customWidth="1"/>
    <col min="12419" max="12419" width="9.296875" style="1" customWidth="1"/>
    <col min="12420" max="12420" width="32.19921875" style="1" customWidth="1"/>
    <col min="12421" max="12665" width="9" style="1"/>
    <col min="12666" max="12666" width="1.19921875" style="1" customWidth="1"/>
    <col min="12667" max="12667" width="61" style="1" customWidth="1"/>
    <col min="12668" max="12672" width="12" style="1" customWidth="1"/>
    <col min="12673" max="12674" width="6.59765625" style="1" customWidth="1"/>
    <col min="12675" max="12675" width="9.296875" style="1" customWidth="1"/>
    <col min="12676" max="12676" width="32.19921875" style="1" customWidth="1"/>
    <col min="12677" max="12921" width="9" style="1"/>
    <col min="12922" max="12922" width="1.19921875" style="1" customWidth="1"/>
    <col min="12923" max="12923" width="61" style="1" customWidth="1"/>
    <col min="12924" max="12928" width="12" style="1" customWidth="1"/>
    <col min="12929" max="12930" width="6.59765625" style="1" customWidth="1"/>
    <col min="12931" max="12931" width="9.296875" style="1" customWidth="1"/>
    <col min="12932" max="12932" width="32.19921875" style="1" customWidth="1"/>
    <col min="12933" max="13177" width="9" style="1"/>
    <col min="13178" max="13178" width="1.19921875" style="1" customWidth="1"/>
    <col min="13179" max="13179" width="61" style="1" customWidth="1"/>
    <col min="13180" max="13184" width="12" style="1" customWidth="1"/>
    <col min="13185" max="13186" width="6.59765625" style="1" customWidth="1"/>
    <col min="13187" max="13187" width="9.296875" style="1" customWidth="1"/>
    <col min="13188" max="13188" width="32.19921875" style="1" customWidth="1"/>
    <col min="13189" max="13433" width="9" style="1"/>
    <col min="13434" max="13434" width="1.19921875" style="1" customWidth="1"/>
    <col min="13435" max="13435" width="61" style="1" customWidth="1"/>
    <col min="13436" max="13440" width="12" style="1" customWidth="1"/>
    <col min="13441" max="13442" width="6.59765625" style="1" customWidth="1"/>
    <col min="13443" max="13443" width="9.296875" style="1" customWidth="1"/>
    <col min="13444" max="13444" width="32.19921875" style="1" customWidth="1"/>
    <col min="13445" max="13689" width="9" style="1"/>
    <col min="13690" max="13690" width="1.19921875" style="1" customWidth="1"/>
    <col min="13691" max="13691" width="61" style="1" customWidth="1"/>
    <col min="13692" max="13696" width="12" style="1" customWidth="1"/>
    <col min="13697" max="13698" width="6.59765625" style="1" customWidth="1"/>
    <col min="13699" max="13699" width="9.296875" style="1" customWidth="1"/>
    <col min="13700" max="13700" width="32.19921875" style="1" customWidth="1"/>
    <col min="13701" max="13945" width="9" style="1"/>
    <col min="13946" max="13946" width="1.19921875" style="1" customWidth="1"/>
    <col min="13947" max="13947" width="61" style="1" customWidth="1"/>
    <col min="13948" max="13952" width="12" style="1" customWidth="1"/>
    <col min="13953" max="13954" width="6.59765625" style="1" customWidth="1"/>
    <col min="13955" max="13955" width="9.296875" style="1" customWidth="1"/>
    <col min="13956" max="13956" width="32.19921875" style="1" customWidth="1"/>
    <col min="13957" max="14201" width="9" style="1"/>
    <col min="14202" max="14202" width="1.19921875" style="1" customWidth="1"/>
    <col min="14203" max="14203" width="61" style="1" customWidth="1"/>
    <col min="14204" max="14208" width="12" style="1" customWidth="1"/>
    <col min="14209" max="14210" width="6.59765625" style="1" customWidth="1"/>
    <col min="14211" max="14211" width="9.296875" style="1" customWidth="1"/>
    <col min="14212" max="14212" width="32.19921875" style="1" customWidth="1"/>
    <col min="14213" max="14457" width="9" style="1"/>
    <col min="14458" max="14458" width="1.19921875" style="1" customWidth="1"/>
    <col min="14459" max="14459" width="61" style="1" customWidth="1"/>
    <col min="14460" max="14464" width="12" style="1" customWidth="1"/>
    <col min="14465" max="14466" width="6.59765625" style="1" customWidth="1"/>
    <col min="14467" max="14467" width="9.296875" style="1" customWidth="1"/>
    <col min="14468" max="14468" width="32.19921875" style="1" customWidth="1"/>
    <col min="14469" max="14713" width="9" style="1"/>
    <col min="14714" max="14714" width="1.19921875" style="1" customWidth="1"/>
    <col min="14715" max="14715" width="61" style="1" customWidth="1"/>
    <col min="14716" max="14720" width="12" style="1" customWidth="1"/>
    <col min="14721" max="14722" width="6.59765625" style="1" customWidth="1"/>
    <col min="14723" max="14723" width="9.296875" style="1" customWidth="1"/>
    <col min="14724" max="14724" width="32.19921875" style="1" customWidth="1"/>
    <col min="14725" max="14969" width="9" style="1"/>
    <col min="14970" max="14970" width="1.19921875" style="1" customWidth="1"/>
    <col min="14971" max="14971" width="61" style="1" customWidth="1"/>
    <col min="14972" max="14976" width="12" style="1" customWidth="1"/>
    <col min="14977" max="14978" width="6.59765625" style="1" customWidth="1"/>
    <col min="14979" max="14979" width="9.296875" style="1" customWidth="1"/>
    <col min="14980" max="14980" width="32.19921875" style="1" customWidth="1"/>
    <col min="14981" max="15225" width="9" style="1"/>
    <col min="15226" max="15226" width="1.19921875" style="1" customWidth="1"/>
    <col min="15227" max="15227" width="61" style="1" customWidth="1"/>
    <col min="15228" max="15232" width="12" style="1" customWidth="1"/>
    <col min="15233" max="15234" width="6.59765625" style="1" customWidth="1"/>
    <col min="15235" max="15235" width="9.296875" style="1" customWidth="1"/>
    <col min="15236" max="15236" width="32.19921875" style="1" customWidth="1"/>
    <col min="15237" max="15481" width="9" style="1"/>
    <col min="15482" max="15482" width="1.19921875" style="1" customWidth="1"/>
    <col min="15483" max="15483" width="61" style="1" customWidth="1"/>
    <col min="15484" max="15488" width="12" style="1" customWidth="1"/>
    <col min="15489" max="15490" width="6.59765625" style="1" customWidth="1"/>
    <col min="15491" max="15491" width="9.296875" style="1" customWidth="1"/>
    <col min="15492" max="15492" width="32.19921875" style="1" customWidth="1"/>
    <col min="15493" max="15737" width="9" style="1"/>
    <col min="15738" max="15738" width="1.19921875" style="1" customWidth="1"/>
    <col min="15739" max="15739" width="61" style="1" customWidth="1"/>
    <col min="15740" max="15744" width="12" style="1" customWidth="1"/>
    <col min="15745" max="15746" width="6.59765625" style="1" customWidth="1"/>
    <col min="15747" max="15747" width="9.296875" style="1" customWidth="1"/>
    <col min="15748" max="15748" width="32.19921875" style="1" customWidth="1"/>
    <col min="15749" max="15993" width="9" style="1"/>
    <col min="15994" max="15994" width="1.19921875" style="1" customWidth="1"/>
    <col min="15995" max="15995" width="61" style="1" customWidth="1"/>
    <col min="15996" max="16000" width="12" style="1" customWidth="1"/>
    <col min="16001" max="16002" width="6.59765625" style="1" customWidth="1"/>
    <col min="16003" max="16003" width="9.296875" style="1" customWidth="1"/>
    <col min="16004" max="16004" width="32.19921875" style="1" customWidth="1"/>
    <col min="16005" max="16384" width="9" style="1"/>
  </cols>
  <sheetData>
    <row r="1" spans="1:34" ht="13.8" x14ac:dyDescent="0.25">
      <c r="A1" s="11" t="s">
        <v>17</v>
      </c>
      <c r="B1" s="33"/>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row>
    <row r="3" spans="1:34" ht="13.8" x14ac:dyDescent="0.25">
      <c r="A3" s="11" t="s">
        <v>835</v>
      </c>
      <c r="B3" s="11"/>
      <c r="C3" s="11"/>
      <c r="D3" s="11"/>
      <c r="E3" s="11"/>
      <c r="F3" s="11"/>
      <c r="G3" s="11"/>
      <c r="H3" s="11"/>
      <c r="I3" s="11"/>
      <c r="J3" s="11"/>
      <c r="K3" s="11"/>
      <c r="L3" s="11"/>
      <c r="V3" s="1"/>
    </row>
    <row r="4" spans="1:34" ht="13.8" x14ac:dyDescent="0.25">
      <c r="A4" s="11"/>
      <c r="B4" s="11"/>
      <c r="C4" s="11"/>
      <c r="D4" s="11"/>
      <c r="E4" s="11"/>
      <c r="F4" s="11"/>
      <c r="G4" s="11"/>
      <c r="H4" s="11"/>
      <c r="I4" s="11"/>
      <c r="J4" s="11"/>
      <c r="K4" s="11"/>
      <c r="L4" s="11"/>
      <c r="V4" s="1"/>
    </row>
    <row r="5" spans="1:34" ht="13.8" x14ac:dyDescent="0.25">
      <c r="A5" s="18" t="s">
        <v>173</v>
      </c>
      <c r="B5" s="384"/>
      <c r="C5" s="11"/>
      <c r="D5" s="11"/>
      <c r="E5" s="11"/>
      <c r="F5" s="11"/>
      <c r="G5" s="11"/>
      <c r="H5" s="11"/>
      <c r="I5" s="11"/>
      <c r="J5" s="11"/>
      <c r="K5" s="11"/>
      <c r="L5" s="11"/>
      <c r="V5" s="1"/>
    </row>
    <row r="6" spans="1:34" ht="45" customHeight="1" x14ac:dyDescent="0.25">
      <c r="A6" s="673" t="s">
        <v>174</v>
      </c>
      <c r="B6" s="673"/>
      <c r="C6" s="673"/>
      <c r="D6" s="673"/>
      <c r="E6" s="673"/>
      <c r="F6" s="673"/>
      <c r="G6" s="673"/>
      <c r="H6" s="673"/>
      <c r="I6" s="673"/>
      <c r="J6" s="673"/>
      <c r="K6" s="673"/>
      <c r="L6" s="673"/>
      <c r="M6" s="673"/>
      <c r="N6" s="673"/>
      <c r="O6" s="673"/>
      <c r="P6" s="673"/>
      <c r="Q6" s="673"/>
      <c r="R6" s="673"/>
      <c r="S6" s="673"/>
      <c r="T6" s="673"/>
      <c r="U6" s="673"/>
      <c r="V6" s="673"/>
      <c r="W6" s="352"/>
      <c r="X6" s="352"/>
      <c r="Y6" s="352"/>
      <c r="Z6" s="352"/>
      <c r="AA6" s="352"/>
      <c r="AB6" s="352"/>
      <c r="AC6" s="352"/>
      <c r="AD6" s="352"/>
    </row>
    <row r="7" spans="1:34" ht="79.2" customHeight="1" x14ac:dyDescent="0.25">
      <c r="A7" s="673" t="s">
        <v>836</v>
      </c>
      <c r="B7" s="673"/>
      <c r="C7" s="673"/>
      <c r="D7" s="673"/>
      <c r="E7" s="673"/>
      <c r="F7" s="673"/>
      <c r="G7" s="673"/>
      <c r="H7" s="673"/>
      <c r="I7" s="673"/>
      <c r="J7" s="673"/>
      <c r="K7" s="673"/>
      <c r="L7" s="673"/>
      <c r="M7" s="673"/>
      <c r="N7" s="673"/>
      <c r="O7" s="673"/>
      <c r="P7" s="673"/>
      <c r="Q7" s="673"/>
      <c r="R7" s="673"/>
      <c r="S7" s="673"/>
      <c r="T7" s="673"/>
      <c r="U7" s="673"/>
      <c r="V7" s="673"/>
    </row>
    <row r="8" spans="1:34" ht="14.4" thickBot="1" x14ac:dyDescent="0.3">
      <c r="A8" s="83"/>
      <c r="B8" s="84"/>
      <c r="C8" s="84"/>
      <c r="D8" s="84"/>
      <c r="E8" s="84"/>
      <c r="F8" s="84"/>
      <c r="G8" s="84"/>
      <c r="H8" s="84"/>
      <c r="I8" s="84"/>
      <c r="J8" s="84"/>
      <c r="K8" s="84"/>
      <c r="L8" s="84" t="s">
        <v>669</v>
      </c>
      <c r="M8" s="83"/>
      <c r="N8" s="83"/>
      <c r="O8" s="83"/>
      <c r="P8" s="83"/>
      <c r="Q8" s="83"/>
      <c r="R8" s="83"/>
      <c r="S8" s="83"/>
      <c r="T8" s="83"/>
      <c r="U8" s="83"/>
      <c r="V8" s="83"/>
      <c r="W8" s="83"/>
      <c r="X8" s="83"/>
      <c r="Y8" s="83"/>
      <c r="Z8" s="83"/>
      <c r="AA8" s="83"/>
      <c r="AB8" s="83"/>
      <c r="AC8" s="83"/>
      <c r="AH8" s="110"/>
    </row>
    <row r="9" spans="1:34" ht="15" customHeight="1" x14ac:dyDescent="0.25">
      <c r="A9" s="350"/>
      <c r="B9" s="696" t="s">
        <v>175</v>
      </c>
      <c r="C9" s="696"/>
      <c r="D9" s="696"/>
      <c r="E9" s="696"/>
      <c r="F9" s="696"/>
      <c r="G9" s="696"/>
      <c r="H9" s="696"/>
      <c r="I9" s="696"/>
      <c r="J9" s="392"/>
      <c r="L9" s="682" t="s">
        <v>44</v>
      </c>
      <c r="M9" s="682"/>
      <c r="N9" s="682"/>
      <c r="O9" s="682"/>
      <c r="P9" s="682"/>
      <c r="Q9" s="682"/>
      <c r="R9" s="682"/>
      <c r="S9" s="682"/>
      <c r="T9" s="393"/>
      <c r="V9" s="676" t="s">
        <v>45</v>
      </c>
      <c r="W9" s="676"/>
      <c r="X9" s="676"/>
      <c r="Y9" s="676"/>
      <c r="Z9" s="676"/>
      <c r="AA9" s="676"/>
      <c r="AB9" s="676"/>
      <c r="AC9" s="676"/>
      <c r="AD9" s="676"/>
    </row>
    <row r="10" spans="1:34" ht="13.95" customHeight="1" thickBot="1" x14ac:dyDescent="0.3">
      <c r="A10" s="82"/>
      <c r="B10" s="87" t="s">
        <v>46</v>
      </c>
      <c r="C10" s="87" t="s">
        <v>47</v>
      </c>
      <c r="D10" s="87" t="s">
        <v>48</v>
      </c>
      <c r="E10" s="155" t="s">
        <v>49</v>
      </c>
      <c r="F10" s="87" t="s">
        <v>50</v>
      </c>
      <c r="G10" s="87" t="s">
        <v>51</v>
      </c>
      <c r="H10" s="87" t="s">
        <v>52</v>
      </c>
      <c r="I10" s="87" t="s">
        <v>53</v>
      </c>
      <c r="J10" s="87" t="s">
        <v>644</v>
      </c>
      <c r="L10" s="87" t="s">
        <v>46</v>
      </c>
      <c r="M10" s="87" t="s">
        <v>47</v>
      </c>
      <c r="N10" s="87" t="s">
        <v>48</v>
      </c>
      <c r="O10" s="155" t="s">
        <v>49</v>
      </c>
      <c r="P10" s="87" t="s">
        <v>50</v>
      </c>
      <c r="Q10" s="87" t="s">
        <v>51</v>
      </c>
      <c r="R10" s="87" t="s">
        <v>52</v>
      </c>
      <c r="S10" s="87" t="s">
        <v>53</v>
      </c>
      <c r="T10" s="87" t="s">
        <v>644</v>
      </c>
      <c r="V10" s="87" t="s">
        <v>46</v>
      </c>
      <c r="W10" s="87" t="s">
        <v>47</v>
      </c>
      <c r="X10" s="87" t="s">
        <v>48</v>
      </c>
      <c r="Y10" s="155" t="s">
        <v>49</v>
      </c>
      <c r="Z10" s="87" t="s">
        <v>50</v>
      </c>
      <c r="AA10" s="87" t="s">
        <v>51</v>
      </c>
      <c r="AB10" s="87" t="s">
        <v>52</v>
      </c>
      <c r="AC10" s="87" t="s">
        <v>53</v>
      </c>
      <c r="AD10" s="87" t="s">
        <v>644</v>
      </c>
    </row>
    <row r="11" spans="1:34" x14ac:dyDescent="0.25">
      <c r="A11" s="352"/>
      <c r="B11" s="352"/>
      <c r="C11" s="352"/>
      <c r="D11" s="352"/>
      <c r="E11" s="144"/>
      <c r="L11" s="1"/>
      <c r="O11" s="144"/>
      <c r="V11" s="1"/>
      <c r="Y11" s="144"/>
    </row>
    <row r="12" spans="1:34" ht="26.4" x14ac:dyDescent="0.25">
      <c r="A12" s="40" t="s">
        <v>54</v>
      </c>
      <c r="B12" s="41" t="s">
        <v>55</v>
      </c>
      <c r="C12" s="41" t="s">
        <v>55</v>
      </c>
      <c r="D12" s="41" t="s">
        <v>55</v>
      </c>
      <c r="E12" s="163" t="s">
        <v>56</v>
      </c>
      <c r="F12" s="204" t="s">
        <v>56</v>
      </c>
      <c r="G12" s="204" t="s">
        <v>57</v>
      </c>
      <c r="H12" s="203" t="s">
        <v>57</v>
      </c>
      <c r="I12" s="203" t="s">
        <v>57</v>
      </c>
      <c r="J12" s="203" t="s">
        <v>57</v>
      </c>
      <c r="K12" s="42"/>
      <c r="L12" s="41" t="s">
        <v>55</v>
      </c>
      <c r="M12" s="41" t="s">
        <v>55</v>
      </c>
      <c r="N12" s="41" t="s">
        <v>55</v>
      </c>
      <c r="O12" s="163" t="s">
        <v>56</v>
      </c>
      <c r="P12" s="204" t="s">
        <v>56</v>
      </c>
      <c r="Q12" s="204" t="s">
        <v>57</v>
      </c>
      <c r="R12" s="41" t="s">
        <v>176</v>
      </c>
      <c r="S12" s="41" t="s">
        <v>176</v>
      </c>
      <c r="T12" s="41" t="s">
        <v>176</v>
      </c>
      <c r="U12" s="42"/>
      <c r="V12" s="41" t="s">
        <v>55</v>
      </c>
      <c r="W12" s="41" t="s">
        <v>55</v>
      </c>
      <c r="X12" s="41" t="s">
        <v>55</v>
      </c>
      <c r="Y12" s="150" t="s">
        <v>59</v>
      </c>
      <c r="Z12" s="204" t="s">
        <v>59</v>
      </c>
      <c r="AA12" s="204" t="s">
        <v>57</v>
      </c>
      <c r="AB12" s="41" t="s">
        <v>176</v>
      </c>
      <c r="AC12" s="41" t="s">
        <v>176</v>
      </c>
      <c r="AD12" s="41" t="s">
        <v>176</v>
      </c>
    </row>
    <row r="13" spans="1:34" ht="15" customHeight="1" x14ac:dyDescent="0.25">
      <c r="A13" s="352"/>
      <c r="B13" s="352"/>
      <c r="C13" s="352"/>
      <c r="D13" s="352"/>
      <c r="E13" s="144"/>
      <c r="L13" s="1"/>
      <c r="O13" s="144"/>
      <c r="V13" s="1"/>
      <c r="Y13" s="144"/>
    </row>
    <row r="14" spans="1:34" ht="15" customHeight="1" x14ac:dyDescent="0.25">
      <c r="A14" s="55" t="s">
        <v>177</v>
      </c>
      <c r="B14" s="9">
        <v>28250</v>
      </c>
      <c r="C14" s="9">
        <v>31273</v>
      </c>
      <c r="D14" s="49">
        <v>35955</v>
      </c>
      <c r="E14" s="145">
        <v>25987</v>
      </c>
      <c r="F14" s="108">
        <v>28287</v>
      </c>
      <c r="G14" s="108">
        <v>29247</v>
      </c>
      <c r="H14" s="108">
        <v>29178</v>
      </c>
      <c r="I14" s="400">
        <v>29464</v>
      </c>
      <c r="J14" s="400" t="s">
        <v>670</v>
      </c>
      <c r="K14"/>
      <c r="L14" s="9">
        <v>27413</v>
      </c>
      <c r="M14" s="9">
        <v>30346</v>
      </c>
      <c r="N14" s="9">
        <v>34763</v>
      </c>
      <c r="O14" s="145">
        <v>25090</v>
      </c>
      <c r="P14" s="108">
        <v>27352</v>
      </c>
      <c r="Q14" s="108">
        <v>28124</v>
      </c>
      <c r="R14" s="108">
        <v>28303</v>
      </c>
      <c r="S14" s="108">
        <v>28695</v>
      </c>
      <c r="T14" s="108" t="s">
        <v>674</v>
      </c>
      <c r="U14"/>
      <c r="V14" s="9">
        <v>837</v>
      </c>
      <c r="W14" s="9">
        <v>927</v>
      </c>
      <c r="X14" s="49">
        <v>1192</v>
      </c>
      <c r="Y14" s="145">
        <v>897</v>
      </c>
      <c r="Z14" s="108">
        <v>935</v>
      </c>
      <c r="AA14" s="108">
        <v>1123</v>
      </c>
      <c r="AB14" s="108">
        <v>875</v>
      </c>
      <c r="AC14" s="108">
        <v>769</v>
      </c>
      <c r="AD14" s="108" t="s">
        <v>678</v>
      </c>
      <c r="AE14"/>
    </row>
    <row r="15" spans="1:34" ht="15" customHeight="1" x14ac:dyDescent="0.25">
      <c r="A15" s="56"/>
      <c r="B15" s="352"/>
      <c r="C15" s="352"/>
      <c r="D15" s="175"/>
      <c r="E15" s="146"/>
      <c r="F15" s="109"/>
      <c r="G15" s="109"/>
      <c r="H15" s="108"/>
      <c r="I15" s="215"/>
      <c r="J15" s="215"/>
      <c r="K15" s="109"/>
      <c r="L15" s="175"/>
      <c r="M15" s="175"/>
      <c r="N15" s="175"/>
      <c r="O15" s="146"/>
      <c r="P15" s="109"/>
      <c r="Q15" s="109"/>
      <c r="R15" s="108"/>
      <c r="S15" s="108"/>
      <c r="T15" s="108"/>
      <c r="U15" s="109"/>
      <c r="V15" s="175"/>
      <c r="W15" s="175"/>
      <c r="X15" s="175"/>
      <c r="Y15" s="146"/>
      <c r="Z15" s="109"/>
      <c r="AA15" s="109"/>
      <c r="AB15" s="108"/>
      <c r="AC15" s="108"/>
      <c r="AD15" s="108"/>
      <c r="AE15" s="109"/>
    </row>
    <row r="16" spans="1:34" ht="15" customHeight="1" x14ac:dyDescent="0.25">
      <c r="A16" s="57" t="s">
        <v>178</v>
      </c>
      <c r="B16" s="9">
        <v>17315</v>
      </c>
      <c r="C16" s="9">
        <v>19718</v>
      </c>
      <c r="D16" s="49">
        <v>23521</v>
      </c>
      <c r="E16" s="145">
        <v>15409</v>
      </c>
      <c r="F16" s="108">
        <v>17095</v>
      </c>
      <c r="G16" s="108">
        <v>19023</v>
      </c>
      <c r="H16" s="108">
        <v>19610</v>
      </c>
      <c r="I16" s="108">
        <v>21110</v>
      </c>
      <c r="J16" s="108" t="s">
        <v>671</v>
      </c>
      <c r="K16" s="108"/>
      <c r="L16" s="9">
        <v>17050</v>
      </c>
      <c r="M16" s="9">
        <v>19402</v>
      </c>
      <c r="N16" s="49">
        <v>23131</v>
      </c>
      <c r="O16" s="145">
        <v>14988</v>
      </c>
      <c r="P16" s="108">
        <v>16574</v>
      </c>
      <c r="Q16" s="108">
        <v>18450</v>
      </c>
      <c r="R16" s="108">
        <v>19175</v>
      </c>
      <c r="S16" s="108">
        <v>20707</v>
      </c>
      <c r="T16" s="108" t="s">
        <v>675</v>
      </c>
      <c r="U16" s="108"/>
      <c r="V16" s="9">
        <v>265</v>
      </c>
      <c r="W16" s="9">
        <v>316</v>
      </c>
      <c r="X16" s="49">
        <v>390</v>
      </c>
      <c r="Y16" s="145">
        <v>421</v>
      </c>
      <c r="Z16" s="108">
        <v>521</v>
      </c>
      <c r="AA16" s="108">
        <v>573</v>
      </c>
      <c r="AB16" s="108">
        <v>435</v>
      </c>
      <c r="AC16" s="108">
        <v>403</v>
      </c>
      <c r="AD16" s="108" t="s">
        <v>679</v>
      </c>
      <c r="AE16" s="108"/>
    </row>
    <row r="17" spans="1:34" ht="15" customHeight="1" x14ac:dyDescent="0.25">
      <c r="A17" s="25" t="s">
        <v>179</v>
      </c>
      <c r="B17" s="12">
        <v>307</v>
      </c>
      <c r="C17" s="12">
        <v>315</v>
      </c>
      <c r="D17" s="175">
        <v>556</v>
      </c>
      <c r="E17" s="146">
        <v>359</v>
      </c>
      <c r="F17" s="109">
        <v>556</v>
      </c>
      <c r="G17" s="109">
        <v>709</v>
      </c>
      <c r="H17" s="215">
        <v>901</v>
      </c>
      <c r="I17" s="215">
        <v>909</v>
      </c>
      <c r="J17" s="215"/>
      <c r="K17" s="109"/>
      <c r="L17" s="12">
        <v>305</v>
      </c>
      <c r="M17" s="12">
        <v>315</v>
      </c>
      <c r="N17" s="175">
        <v>556</v>
      </c>
      <c r="O17" s="146">
        <v>353</v>
      </c>
      <c r="P17" s="109">
        <v>537</v>
      </c>
      <c r="Q17" s="109">
        <v>677</v>
      </c>
      <c r="R17" s="215">
        <v>874</v>
      </c>
      <c r="S17" s="215">
        <v>841</v>
      </c>
      <c r="T17" s="215"/>
      <c r="U17" s="109"/>
      <c r="V17" s="12">
        <v>2</v>
      </c>
      <c r="W17" s="12">
        <v>0</v>
      </c>
      <c r="X17" s="175">
        <v>0</v>
      </c>
      <c r="Y17" s="146">
        <v>6</v>
      </c>
      <c r="Z17" s="109">
        <v>19</v>
      </c>
      <c r="AA17" s="109">
        <v>32</v>
      </c>
      <c r="AB17" s="215">
        <v>27</v>
      </c>
      <c r="AC17" s="215">
        <v>68</v>
      </c>
      <c r="AD17" s="215"/>
      <c r="AE17" s="109"/>
    </row>
    <row r="18" spans="1:34" ht="15" customHeight="1" x14ac:dyDescent="0.25">
      <c r="A18" s="25" t="s">
        <v>180</v>
      </c>
      <c r="B18" s="12">
        <v>17008</v>
      </c>
      <c r="C18" s="12">
        <v>19403</v>
      </c>
      <c r="D18" s="52">
        <v>22965</v>
      </c>
      <c r="E18" s="255">
        <v>15050</v>
      </c>
      <c r="F18" s="215">
        <v>16539</v>
      </c>
      <c r="G18" s="215">
        <v>18314</v>
      </c>
      <c r="H18" s="215">
        <v>18665</v>
      </c>
      <c r="I18" s="215">
        <v>20153</v>
      </c>
      <c r="J18" s="215"/>
      <c r="K18" s="215"/>
      <c r="L18" s="12">
        <v>16745</v>
      </c>
      <c r="M18" s="12">
        <v>19087</v>
      </c>
      <c r="N18" s="52">
        <v>22575</v>
      </c>
      <c r="O18" s="255">
        <v>14635</v>
      </c>
      <c r="P18" s="215">
        <v>16037</v>
      </c>
      <c r="Q18" s="215">
        <v>17773</v>
      </c>
      <c r="R18" s="215">
        <v>18257</v>
      </c>
      <c r="S18" s="215">
        <v>19818</v>
      </c>
      <c r="T18" s="215"/>
      <c r="U18" s="215"/>
      <c r="V18" s="12">
        <v>263</v>
      </c>
      <c r="W18" s="12">
        <v>316</v>
      </c>
      <c r="X18" s="175">
        <v>390</v>
      </c>
      <c r="Y18" s="146">
        <v>415</v>
      </c>
      <c r="Z18" s="109">
        <v>502</v>
      </c>
      <c r="AA18" s="109">
        <v>541</v>
      </c>
      <c r="AB18" s="215">
        <v>408</v>
      </c>
      <c r="AC18" s="215">
        <v>335</v>
      </c>
      <c r="AD18" s="215"/>
      <c r="AE18" s="215"/>
    </row>
    <row r="19" spans="1:34" ht="15" customHeight="1" x14ac:dyDescent="0.25">
      <c r="A19" s="25"/>
      <c r="B19" s="12"/>
      <c r="C19" s="12"/>
      <c r="D19" s="175"/>
      <c r="E19" s="146"/>
      <c r="F19" s="109"/>
      <c r="G19" s="109"/>
      <c r="H19" s="108"/>
      <c r="I19" s="215"/>
      <c r="J19" s="215"/>
      <c r="K19" s="109"/>
      <c r="L19" s="12"/>
      <c r="M19" s="12"/>
      <c r="N19" s="175"/>
      <c r="O19" s="146"/>
      <c r="P19" s="109"/>
      <c r="Q19" s="109"/>
      <c r="R19" s="108"/>
      <c r="S19" s="108"/>
      <c r="T19" s="108"/>
      <c r="U19" s="109"/>
      <c r="V19" s="12"/>
      <c r="W19" s="183"/>
      <c r="X19" s="175"/>
      <c r="Y19" s="146"/>
      <c r="Z19" s="109"/>
      <c r="AA19" s="109"/>
      <c r="AB19" s="108"/>
      <c r="AC19" s="108"/>
      <c r="AD19" s="108"/>
      <c r="AE19" s="109"/>
    </row>
    <row r="20" spans="1:34" ht="15" customHeight="1" x14ac:dyDescent="0.25">
      <c r="A20" s="351" t="s">
        <v>181</v>
      </c>
      <c r="B20" s="9">
        <v>326</v>
      </c>
      <c r="C20" s="9">
        <v>354</v>
      </c>
      <c r="D20" s="182">
        <v>405</v>
      </c>
      <c r="E20" s="147">
        <v>222</v>
      </c>
      <c r="F20" s="208">
        <v>263</v>
      </c>
      <c r="G20" s="208">
        <v>195</v>
      </c>
      <c r="H20" s="108">
        <v>177</v>
      </c>
      <c r="I20" s="108">
        <v>115</v>
      </c>
      <c r="J20" s="108" t="s">
        <v>672</v>
      </c>
      <c r="K20" s="208"/>
      <c r="L20" s="9">
        <v>315</v>
      </c>
      <c r="M20" s="9">
        <v>327</v>
      </c>
      <c r="N20" s="182">
        <v>394</v>
      </c>
      <c r="O20" s="147">
        <v>215</v>
      </c>
      <c r="P20" s="208">
        <v>258</v>
      </c>
      <c r="Q20" s="208">
        <v>191</v>
      </c>
      <c r="R20" s="108">
        <v>176</v>
      </c>
      <c r="S20" s="108">
        <v>115</v>
      </c>
      <c r="T20" s="108" t="s">
        <v>676</v>
      </c>
      <c r="U20" s="208"/>
      <c r="V20" s="9">
        <v>11</v>
      </c>
      <c r="W20" s="181">
        <v>27</v>
      </c>
      <c r="X20" s="182">
        <v>11</v>
      </c>
      <c r="Y20" s="147">
        <v>7</v>
      </c>
      <c r="Z20" s="208">
        <v>5</v>
      </c>
      <c r="AA20" s="208">
        <v>4</v>
      </c>
      <c r="AB20" s="108">
        <v>1</v>
      </c>
      <c r="AC20" s="108">
        <v>0</v>
      </c>
      <c r="AD20" s="108" t="s">
        <v>680</v>
      </c>
      <c r="AE20" s="208"/>
    </row>
    <row r="21" spans="1:34" ht="15" customHeight="1" x14ac:dyDescent="0.25">
      <c r="A21" s="26"/>
      <c r="B21" s="12"/>
      <c r="C21" s="183"/>
      <c r="D21" s="175"/>
      <c r="E21" s="146"/>
      <c r="F21" s="109"/>
      <c r="G21" s="109"/>
      <c r="H21" s="108"/>
      <c r="I21" s="215"/>
      <c r="J21" s="215"/>
      <c r="K21" s="109"/>
      <c r="L21" s="12"/>
      <c r="M21" s="183"/>
      <c r="N21" s="175"/>
      <c r="O21" s="146"/>
      <c r="P21" s="109"/>
      <c r="Q21" s="109"/>
      <c r="R21" s="108"/>
      <c r="S21" s="108"/>
      <c r="T21" s="108"/>
      <c r="U21" s="109"/>
      <c r="V21" s="12"/>
      <c r="W21" s="183"/>
      <c r="X21" s="175"/>
      <c r="Y21" s="146"/>
      <c r="Z21" s="109"/>
      <c r="AA21" s="109"/>
      <c r="AB21" s="108"/>
      <c r="AC21" s="108"/>
      <c r="AD21" s="108"/>
      <c r="AE21" s="109"/>
    </row>
    <row r="22" spans="1:34" ht="15" customHeight="1" x14ac:dyDescent="0.25">
      <c r="A22" s="351" t="s">
        <v>182</v>
      </c>
      <c r="B22" s="9">
        <v>10609</v>
      </c>
      <c r="C22" s="9">
        <v>11201</v>
      </c>
      <c r="D22" s="9">
        <v>12029</v>
      </c>
      <c r="E22" s="145">
        <v>10356</v>
      </c>
      <c r="F22" s="108">
        <v>10929</v>
      </c>
      <c r="G22" s="108">
        <v>10029</v>
      </c>
      <c r="H22" s="108">
        <v>9391</v>
      </c>
      <c r="I22" s="108">
        <v>8235</v>
      </c>
      <c r="J22" s="108" t="s">
        <v>673</v>
      </c>
      <c r="K22" s="108"/>
      <c r="L22" s="9">
        <v>10048</v>
      </c>
      <c r="M22" s="9">
        <v>10617</v>
      </c>
      <c r="N22" s="9">
        <v>11238</v>
      </c>
      <c r="O22" s="145">
        <v>9887</v>
      </c>
      <c r="P22" s="108">
        <v>10520</v>
      </c>
      <c r="Q22" s="108">
        <v>9483</v>
      </c>
      <c r="R22" s="108">
        <v>8952</v>
      </c>
      <c r="S22" s="108">
        <v>7869</v>
      </c>
      <c r="T22" s="108" t="s">
        <v>677</v>
      </c>
      <c r="U22" s="108"/>
      <c r="V22" s="9">
        <v>561</v>
      </c>
      <c r="W22" s="9">
        <v>584</v>
      </c>
      <c r="X22" s="9">
        <v>791</v>
      </c>
      <c r="Y22" s="145">
        <v>469</v>
      </c>
      <c r="Z22" s="108">
        <v>409</v>
      </c>
      <c r="AA22" s="108">
        <v>546</v>
      </c>
      <c r="AB22" s="108">
        <v>439</v>
      </c>
      <c r="AC22" s="108">
        <v>366</v>
      </c>
      <c r="AD22" s="108" t="s">
        <v>681</v>
      </c>
      <c r="AE22" s="108"/>
    </row>
    <row r="23" spans="1:34" ht="15" customHeight="1" x14ac:dyDescent="0.25">
      <c r="A23" s="25" t="s">
        <v>183</v>
      </c>
      <c r="B23" s="12">
        <v>8770</v>
      </c>
      <c r="C23" s="12">
        <v>9364</v>
      </c>
      <c r="D23" s="12">
        <v>10181</v>
      </c>
      <c r="E23" s="148">
        <v>9038</v>
      </c>
      <c r="F23" s="89">
        <v>9564</v>
      </c>
      <c r="G23" s="89">
        <v>8554</v>
      </c>
      <c r="H23" s="215">
        <v>7964</v>
      </c>
      <c r="I23" s="215">
        <v>7166</v>
      </c>
      <c r="J23" s="215"/>
      <c r="K23" s="89"/>
      <c r="L23" s="12">
        <v>8302</v>
      </c>
      <c r="M23" s="12">
        <v>8868</v>
      </c>
      <c r="N23" s="12">
        <v>9524</v>
      </c>
      <c r="O23" s="148">
        <v>8646</v>
      </c>
      <c r="P23" s="89">
        <v>9217</v>
      </c>
      <c r="Q23" s="89">
        <v>8114</v>
      </c>
      <c r="R23" s="215">
        <v>7591</v>
      </c>
      <c r="S23" s="215">
        <v>6847</v>
      </c>
      <c r="T23" s="215"/>
      <c r="U23" s="89"/>
      <c r="V23" s="12">
        <v>468</v>
      </c>
      <c r="W23" s="12">
        <v>496</v>
      </c>
      <c r="X23" s="12">
        <v>657</v>
      </c>
      <c r="Y23" s="148">
        <v>392</v>
      </c>
      <c r="Z23" s="89">
        <v>347</v>
      </c>
      <c r="AA23" s="89">
        <v>440</v>
      </c>
      <c r="AB23" s="215">
        <v>373</v>
      </c>
      <c r="AC23" s="215">
        <v>319</v>
      </c>
      <c r="AD23" s="215"/>
      <c r="AE23" s="89"/>
    </row>
    <row r="24" spans="1:34" ht="15" customHeight="1" x14ac:dyDescent="0.25">
      <c r="A24" s="25" t="s">
        <v>184</v>
      </c>
      <c r="B24" s="12">
        <v>1839</v>
      </c>
      <c r="C24" s="12">
        <v>1837</v>
      </c>
      <c r="D24" s="12">
        <v>1848</v>
      </c>
      <c r="E24" s="148">
        <v>1318</v>
      </c>
      <c r="F24" s="89">
        <v>1365</v>
      </c>
      <c r="G24" s="89">
        <v>1475</v>
      </c>
      <c r="H24" s="215">
        <v>1427</v>
      </c>
      <c r="I24" s="215">
        <v>1069</v>
      </c>
      <c r="J24" s="215"/>
      <c r="K24" s="89"/>
      <c r="L24" s="12">
        <v>1746</v>
      </c>
      <c r="M24" s="12">
        <v>1749</v>
      </c>
      <c r="N24" s="12">
        <v>1714</v>
      </c>
      <c r="O24" s="148">
        <v>1241</v>
      </c>
      <c r="P24" s="89">
        <v>1303</v>
      </c>
      <c r="Q24" s="89">
        <v>1369</v>
      </c>
      <c r="R24" s="215">
        <v>1361</v>
      </c>
      <c r="S24" s="215">
        <v>1022</v>
      </c>
      <c r="T24" s="215"/>
      <c r="U24" s="89"/>
      <c r="V24" s="12">
        <v>93</v>
      </c>
      <c r="W24" s="12">
        <v>88</v>
      </c>
      <c r="X24" s="12">
        <v>134</v>
      </c>
      <c r="Y24" s="148">
        <v>77</v>
      </c>
      <c r="Z24" s="89">
        <v>62</v>
      </c>
      <c r="AA24" s="89">
        <v>106</v>
      </c>
      <c r="AB24" s="215">
        <v>66</v>
      </c>
      <c r="AC24" s="215">
        <v>47</v>
      </c>
      <c r="AD24" s="215"/>
      <c r="AE24" s="89"/>
    </row>
    <row r="25" spans="1:34" ht="13.8" thickBot="1" x14ac:dyDescent="0.3">
      <c r="A25" s="82"/>
      <c r="B25" s="82"/>
      <c r="C25" s="82"/>
      <c r="D25" s="82"/>
      <c r="E25" s="149"/>
      <c r="F25" s="83"/>
      <c r="G25" s="83"/>
      <c r="H25" s="82"/>
      <c r="I25" s="82"/>
      <c r="J25" s="82"/>
      <c r="K25" s="83"/>
      <c r="L25" s="83"/>
      <c r="M25" s="83"/>
      <c r="N25" s="83"/>
      <c r="O25" s="149"/>
      <c r="P25" s="83"/>
      <c r="Q25" s="83"/>
      <c r="R25" s="82"/>
      <c r="S25" s="82"/>
      <c r="T25" s="82"/>
      <c r="U25" s="83"/>
      <c r="V25" s="83"/>
      <c r="W25" s="83"/>
      <c r="X25" s="83"/>
      <c r="Y25" s="149"/>
      <c r="Z25" s="83"/>
      <c r="AA25" s="83"/>
      <c r="AB25" s="82"/>
      <c r="AC25" s="82"/>
      <c r="AD25" s="82"/>
    </row>
    <row r="26" spans="1:34" x14ac:dyDescent="0.25">
      <c r="A26" s="18"/>
      <c r="B26" s="352"/>
      <c r="C26" s="352"/>
      <c r="D26" s="352"/>
      <c r="E26" s="352"/>
      <c r="F26" s="352"/>
      <c r="G26" s="352"/>
      <c r="H26" s="352"/>
      <c r="I26" s="352"/>
      <c r="J26" s="352"/>
      <c r="K26" s="352"/>
      <c r="L26" s="352"/>
      <c r="V26" s="1"/>
    </row>
    <row r="27" spans="1:34" ht="18.75" customHeight="1" x14ac:dyDescent="0.25">
      <c r="A27" s="673" t="s">
        <v>837</v>
      </c>
      <c r="B27" s="673"/>
      <c r="C27" s="673"/>
      <c r="D27" s="673"/>
      <c r="E27" s="673"/>
      <c r="F27" s="673"/>
      <c r="G27" s="673"/>
      <c r="H27" s="673"/>
      <c r="I27" s="673"/>
      <c r="J27" s="673"/>
      <c r="K27" s="673"/>
      <c r="L27" s="385"/>
      <c r="V27" s="1"/>
    </row>
    <row r="28" spans="1:34" ht="43.95" customHeight="1" x14ac:dyDescent="0.25">
      <c r="A28" s="673" t="s">
        <v>838</v>
      </c>
      <c r="B28" s="673"/>
      <c r="C28" s="673"/>
      <c r="D28" s="673"/>
      <c r="E28" s="673"/>
      <c r="F28" s="673"/>
      <c r="G28" s="673"/>
      <c r="H28" s="673"/>
      <c r="I28" s="673"/>
      <c r="J28" s="673"/>
      <c r="K28" s="673"/>
      <c r="L28" s="673"/>
      <c r="M28" s="673"/>
      <c r="N28" s="673"/>
      <c r="O28" s="673"/>
      <c r="V28" s="1"/>
    </row>
    <row r="29" spans="1:34" x14ac:dyDescent="0.25">
      <c r="A29" s="352"/>
      <c r="B29" s="1"/>
      <c r="L29" s="1"/>
      <c r="V29" s="1"/>
    </row>
    <row r="30" spans="1:34" ht="12.75" customHeight="1" x14ac:dyDescent="0.25">
      <c r="A30" s="674" t="s">
        <v>93</v>
      </c>
      <c r="B30" s="674"/>
      <c r="C30" s="674"/>
      <c r="D30" s="674"/>
      <c r="E30" s="674"/>
      <c r="F30" s="674"/>
      <c r="G30" s="674"/>
      <c r="H30" s="674"/>
      <c r="I30" s="674"/>
      <c r="J30" s="674"/>
      <c r="K30" s="674"/>
      <c r="L30" s="674"/>
      <c r="M30" s="674"/>
      <c r="N30" s="674"/>
      <c r="O30" s="674"/>
      <c r="P30" s="674"/>
      <c r="Q30" s="674"/>
      <c r="R30" s="674"/>
      <c r="S30" s="674"/>
      <c r="T30" s="674"/>
      <c r="U30" s="674"/>
      <c r="V30" s="674"/>
      <c r="W30" s="674"/>
      <c r="X30" s="674"/>
      <c r="Y30" s="674"/>
      <c r="Z30" s="674"/>
      <c r="AA30" s="674"/>
      <c r="AB30" s="674"/>
      <c r="AC30" s="674"/>
      <c r="AD30" s="674"/>
      <c r="AE30" s="674"/>
      <c r="AF30" s="674"/>
      <c r="AG30" s="674"/>
      <c r="AH30" s="674"/>
    </row>
    <row r="31" spans="1:34" ht="12.75" customHeight="1" x14ac:dyDescent="0.25">
      <c r="A31" s="34" t="s">
        <v>94</v>
      </c>
      <c r="B31" s="1"/>
      <c r="L31" s="1"/>
      <c r="V31" s="1"/>
    </row>
    <row r="32" spans="1:34" ht="12.75" customHeight="1" x14ac:dyDescent="0.25">
      <c r="A32" s="19"/>
      <c r="B32" s="19"/>
      <c r="C32" s="19"/>
      <c r="D32" s="19"/>
      <c r="E32" s="19"/>
      <c r="F32" s="19"/>
      <c r="G32" s="19"/>
      <c r="H32" s="23"/>
      <c r="I32" s="23"/>
      <c r="J32" s="23"/>
      <c r="K32" s="23"/>
      <c r="L32" s="23"/>
      <c r="V32" s="1"/>
    </row>
    <row r="33" spans="1:30" ht="12.75" customHeight="1" x14ac:dyDescent="0.25">
      <c r="A33" s="19"/>
      <c r="B33" s="19"/>
      <c r="C33" s="19"/>
      <c r="D33" s="19"/>
      <c r="E33" s="19"/>
      <c r="F33" s="19"/>
      <c r="G33" s="19"/>
      <c r="H33" s="23"/>
      <c r="I33" s="23"/>
      <c r="J33" s="23"/>
      <c r="K33" s="23"/>
      <c r="L33" s="23"/>
      <c r="M33" s="23"/>
      <c r="N33" s="348"/>
      <c r="O33" s="348"/>
      <c r="P33" s="348"/>
      <c r="Q33" s="348"/>
      <c r="R33" s="348"/>
      <c r="S33" s="348"/>
      <c r="T33" s="348"/>
      <c r="U33" s="348"/>
      <c r="V33" s="348"/>
      <c r="W33" s="348"/>
      <c r="X33" s="348"/>
      <c r="Y33" s="348"/>
      <c r="Z33" s="348"/>
      <c r="AA33" s="348"/>
      <c r="AB33" s="348"/>
      <c r="AC33" s="348"/>
      <c r="AD33" s="348"/>
    </row>
  </sheetData>
  <mergeCells count="8">
    <mergeCell ref="A30:AH30"/>
    <mergeCell ref="A27:K27"/>
    <mergeCell ref="A7:V7"/>
    <mergeCell ref="A6:V6"/>
    <mergeCell ref="A28:O28"/>
    <mergeCell ref="L9:S9"/>
    <mergeCell ref="B9:I9"/>
    <mergeCell ref="V9:AD9"/>
  </mergeCells>
  <pageMargins left="0.25" right="0.25" top="0.75" bottom="0.75" header="0.3" footer="0.3"/>
  <pageSetup paperSize="9" scale="35"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0"/>
  <sheetViews>
    <sheetView workbookViewId="0"/>
  </sheetViews>
  <sheetFormatPr defaultRowHeight="13.2" x14ac:dyDescent="0.25"/>
  <cols>
    <col min="1" max="1" width="31" style="1" customWidth="1"/>
    <col min="2" max="2" width="17.19921875" style="1" customWidth="1"/>
    <col min="3" max="3" width="16" style="1" customWidth="1"/>
    <col min="4" max="4" width="14.19921875" style="1" bestFit="1" customWidth="1"/>
    <col min="5" max="5" width="11.796875" style="1" customWidth="1"/>
    <col min="6" max="6" width="12.69921875" style="1" customWidth="1"/>
    <col min="7" max="82" width="9" style="1"/>
    <col min="83" max="83" width="1.19921875" style="1" customWidth="1"/>
    <col min="84" max="84" width="61" style="1" customWidth="1"/>
    <col min="85" max="89" width="12" style="1" customWidth="1"/>
    <col min="90" max="91" width="6.59765625" style="1" customWidth="1"/>
    <col min="92" max="92" width="9.296875" style="1" customWidth="1"/>
    <col min="93" max="93" width="32.19921875" style="1" customWidth="1"/>
    <col min="94" max="338" width="9" style="1"/>
    <col min="339" max="339" width="1.19921875" style="1" customWidth="1"/>
    <col min="340" max="340" width="61" style="1" customWidth="1"/>
    <col min="341" max="345" width="12" style="1" customWidth="1"/>
    <col min="346" max="347" width="6.59765625" style="1" customWidth="1"/>
    <col min="348" max="348" width="9.296875" style="1" customWidth="1"/>
    <col min="349" max="349" width="32.19921875" style="1" customWidth="1"/>
    <col min="350" max="594" width="9" style="1"/>
    <col min="595" max="595" width="1.19921875" style="1" customWidth="1"/>
    <col min="596" max="596" width="61" style="1" customWidth="1"/>
    <col min="597" max="601" width="12" style="1" customWidth="1"/>
    <col min="602" max="603" width="6.59765625" style="1" customWidth="1"/>
    <col min="604" max="604" width="9.296875" style="1" customWidth="1"/>
    <col min="605" max="605" width="32.19921875" style="1" customWidth="1"/>
    <col min="606" max="850" width="9" style="1"/>
    <col min="851" max="851" width="1.19921875" style="1" customWidth="1"/>
    <col min="852" max="852" width="61" style="1" customWidth="1"/>
    <col min="853" max="857" width="12" style="1" customWidth="1"/>
    <col min="858" max="859" width="6.59765625" style="1" customWidth="1"/>
    <col min="860" max="860" width="9.296875" style="1" customWidth="1"/>
    <col min="861" max="861" width="32.19921875" style="1" customWidth="1"/>
    <col min="862" max="1106" width="9" style="1"/>
    <col min="1107" max="1107" width="1.19921875" style="1" customWidth="1"/>
    <col min="1108" max="1108" width="61" style="1" customWidth="1"/>
    <col min="1109" max="1113" width="12" style="1" customWidth="1"/>
    <col min="1114" max="1115" width="6.59765625" style="1" customWidth="1"/>
    <col min="1116" max="1116" width="9.296875" style="1" customWidth="1"/>
    <col min="1117" max="1117" width="32.19921875" style="1" customWidth="1"/>
    <col min="1118" max="1362" width="9" style="1"/>
    <col min="1363" max="1363" width="1.19921875" style="1" customWidth="1"/>
    <col min="1364" max="1364" width="61" style="1" customWidth="1"/>
    <col min="1365" max="1369" width="12" style="1" customWidth="1"/>
    <col min="1370" max="1371" width="6.59765625" style="1" customWidth="1"/>
    <col min="1372" max="1372" width="9.296875" style="1" customWidth="1"/>
    <col min="1373" max="1373" width="32.19921875" style="1" customWidth="1"/>
    <col min="1374" max="1618" width="9" style="1"/>
    <col min="1619" max="1619" width="1.19921875" style="1" customWidth="1"/>
    <col min="1620" max="1620" width="61" style="1" customWidth="1"/>
    <col min="1621" max="1625" width="12" style="1" customWidth="1"/>
    <col min="1626" max="1627" width="6.59765625" style="1" customWidth="1"/>
    <col min="1628" max="1628" width="9.296875" style="1" customWidth="1"/>
    <col min="1629" max="1629" width="32.19921875" style="1" customWidth="1"/>
    <col min="1630" max="1874" width="9" style="1"/>
    <col min="1875" max="1875" width="1.19921875" style="1" customWidth="1"/>
    <col min="1876" max="1876" width="61" style="1" customWidth="1"/>
    <col min="1877" max="1881" width="12" style="1" customWidth="1"/>
    <col min="1882" max="1883" width="6.59765625" style="1" customWidth="1"/>
    <col min="1884" max="1884" width="9.296875" style="1" customWidth="1"/>
    <col min="1885" max="1885" width="32.19921875" style="1" customWidth="1"/>
    <col min="1886" max="2130" width="9" style="1"/>
    <col min="2131" max="2131" width="1.19921875" style="1" customWidth="1"/>
    <col min="2132" max="2132" width="61" style="1" customWidth="1"/>
    <col min="2133" max="2137" width="12" style="1" customWidth="1"/>
    <col min="2138" max="2139" width="6.59765625" style="1" customWidth="1"/>
    <col min="2140" max="2140" width="9.296875" style="1" customWidth="1"/>
    <col min="2141" max="2141" width="32.19921875" style="1" customWidth="1"/>
    <col min="2142" max="2386" width="9" style="1"/>
    <col min="2387" max="2387" width="1.19921875" style="1" customWidth="1"/>
    <col min="2388" max="2388" width="61" style="1" customWidth="1"/>
    <col min="2389" max="2393" width="12" style="1" customWidth="1"/>
    <col min="2394" max="2395" width="6.59765625" style="1" customWidth="1"/>
    <col min="2396" max="2396" width="9.296875" style="1" customWidth="1"/>
    <col min="2397" max="2397" width="32.19921875" style="1" customWidth="1"/>
    <col min="2398" max="2642" width="9" style="1"/>
    <col min="2643" max="2643" width="1.19921875" style="1" customWidth="1"/>
    <col min="2644" max="2644" width="61" style="1" customWidth="1"/>
    <col min="2645" max="2649" width="12" style="1" customWidth="1"/>
    <col min="2650" max="2651" width="6.59765625" style="1" customWidth="1"/>
    <col min="2652" max="2652" width="9.296875" style="1" customWidth="1"/>
    <col min="2653" max="2653" width="32.19921875" style="1" customWidth="1"/>
    <col min="2654" max="2898" width="9" style="1"/>
    <col min="2899" max="2899" width="1.19921875" style="1" customWidth="1"/>
    <col min="2900" max="2900" width="61" style="1" customWidth="1"/>
    <col min="2901" max="2905" width="12" style="1" customWidth="1"/>
    <col min="2906" max="2907" width="6.59765625" style="1" customWidth="1"/>
    <col min="2908" max="2908" width="9.296875" style="1" customWidth="1"/>
    <col min="2909" max="2909" width="32.19921875" style="1" customWidth="1"/>
    <col min="2910" max="3154" width="9" style="1"/>
    <col min="3155" max="3155" width="1.19921875" style="1" customWidth="1"/>
    <col min="3156" max="3156" width="61" style="1" customWidth="1"/>
    <col min="3157" max="3161" width="12" style="1" customWidth="1"/>
    <col min="3162" max="3163" width="6.59765625" style="1" customWidth="1"/>
    <col min="3164" max="3164" width="9.296875" style="1" customWidth="1"/>
    <col min="3165" max="3165" width="32.19921875" style="1" customWidth="1"/>
    <col min="3166" max="3410" width="9" style="1"/>
    <col min="3411" max="3411" width="1.19921875" style="1" customWidth="1"/>
    <col min="3412" max="3412" width="61" style="1" customWidth="1"/>
    <col min="3413" max="3417" width="12" style="1" customWidth="1"/>
    <col min="3418" max="3419" width="6.59765625" style="1" customWidth="1"/>
    <col min="3420" max="3420" width="9.296875" style="1" customWidth="1"/>
    <col min="3421" max="3421" width="32.19921875" style="1" customWidth="1"/>
    <col min="3422" max="3666" width="9" style="1"/>
    <col min="3667" max="3667" width="1.19921875" style="1" customWidth="1"/>
    <col min="3668" max="3668" width="61" style="1" customWidth="1"/>
    <col min="3669" max="3673" width="12" style="1" customWidth="1"/>
    <col min="3674" max="3675" width="6.59765625" style="1" customWidth="1"/>
    <col min="3676" max="3676" width="9.296875" style="1" customWidth="1"/>
    <col min="3677" max="3677" width="32.19921875" style="1" customWidth="1"/>
    <col min="3678" max="3922" width="9" style="1"/>
    <col min="3923" max="3923" width="1.19921875" style="1" customWidth="1"/>
    <col min="3924" max="3924" width="61" style="1" customWidth="1"/>
    <col min="3925" max="3929" width="12" style="1" customWidth="1"/>
    <col min="3930" max="3931" width="6.59765625" style="1" customWidth="1"/>
    <col min="3932" max="3932" width="9.296875" style="1" customWidth="1"/>
    <col min="3933" max="3933" width="32.19921875" style="1" customWidth="1"/>
    <col min="3934" max="4178" width="9" style="1"/>
    <col min="4179" max="4179" width="1.19921875" style="1" customWidth="1"/>
    <col min="4180" max="4180" width="61" style="1" customWidth="1"/>
    <col min="4181" max="4185" width="12" style="1" customWidth="1"/>
    <col min="4186" max="4187" width="6.59765625" style="1" customWidth="1"/>
    <col min="4188" max="4188" width="9.296875" style="1" customWidth="1"/>
    <col min="4189" max="4189" width="32.19921875" style="1" customWidth="1"/>
    <col min="4190" max="4434" width="9" style="1"/>
    <col min="4435" max="4435" width="1.19921875" style="1" customWidth="1"/>
    <col min="4436" max="4436" width="61" style="1" customWidth="1"/>
    <col min="4437" max="4441" width="12" style="1" customWidth="1"/>
    <col min="4442" max="4443" width="6.59765625" style="1" customWidth="1"/>
    <col min="4444" max="4444" width="9.296875" style="1" customWidth="1"/>
    <col min="4445" max="4445" width="32.19921875" style="1" customWidth="1"/>
    <col min="4446" max="4690" width="9" style="1"/>
    <col min="4691" max="4691" width="1.19921875" style="1" customWidth="1"/>
    <col min="4692" max="4692" width="61" style="1" customWidth="1"/>
    <col min="4693" max="4697" width="12" style="1" customWidth="1"/>
    <col min="4698" max="4699" width="6.59765625" style="1" customWidth="1"/>
    <col min="4700" max="4700" width="9.296875" style="1" customWidth="1"/>
    <col min="4701" max="4701" width="32.19921875" style="1" customWidth="1"/>
    <col min="4702" max="4946" width="9" style="1"/>
    <col min="4947" max="4947" width="1.19921875" style="1" customWidth="1"/>
    <col min="4948" max="4948" width="61" style="1" customWidth="1"/>
    <col min="4949" max="4953" width="12" style="1" customWidth="1"/>
    <col min="4954" max="4955" width="6.59765625" style="1" customWidth="1"/>
    <col min="4956" max="4956" width="9.296875" style="1" customWidth="1"/>
    <col min="4957" max="4957" width="32.19921875" style="1" customWidth="1"/>
    <col min="4958" max="5202" width="9" style="1"/>
    <col min="5203" max="5203" width="1.19921875" style="1" customWidth="1"/>
    <col min="5204" max="5204" width="61" style="1" customWidth="1"/>
    <col min="5205" max="5209" width="12" style="1" customWidth="1"/>
    <col min="5210" max="5211" width="6.59765625" style="1" customWidth="1"/>
    <col min="5212" max="5212" width="9.296875" style="1" customWidth="1"/>
    <col min="5213" max="5213" width="32.19921875" style="1" customWidth="1"/>
    <col min="5214" max="5458" width="9" style="1"/>
    <col min="5459" max="5459" width="1.19921875" style="1" customWidth="1"/>
    <col min="5460" max="5460" width="61" style="1" customWidth="1"/>
    <col min="5461" max="5465" width="12" style="1" customWidth="1"/>
    <col min="5466" max="5467" width="6.59765625" style="1" customWidth="1"/>
    <col min="5468" max="5468" width="9.296875" style="1" customWidth="1"/>
    <col min="5469" max="5469" width="32.19921875" style="1" customWidth="1"/>
    <col min="5470" max="5714" width="9" style="1"/>
    <col min="5715" max="5715" width="1.19921875" style="1" customWidth="1"/>
    <col min="5716" max="5716" width="61" style="1" customWidth="1"/>
    <col min="5717" max="5721" width="12" style="1" customWidth="1"/>
    <col min="5722" max="5723" width="6.59765625" style="1" customWidth="1"/>
    <col min="5724" max="5724" width="9.296875" style="1" customWidth="1"/>
    <col min="5725" max="5725" width="32.19921875" style="1" customWidth="1"/>
    <col min="5726" max="5970" width="9" style="1"/>
    <col min="5971" max="5971" width="1.19921875" style="1" customWidth="1"/>
    <col min="5972" max="5972" width="61" style="1" customWidth="1"/>
    <col min="5973" max="5977" width="12" style="1" customWidth="1"/>
    <col min="5978" max="5979" width="6.59765625" style="1" customWidth="1"/>
    <col min="5980" max="5980" width="9.296875" style="1" customWidth="1"/>
    <col min="5981" max="5981" width="32.19921875" style="1" customWidth="1"/>
    <col min="5982" max="6226" width="9" style="1"/>
    <col min="6227" max="6227" width="1.19921875" style="1" customWidth="1"/>
    <col min="6228" max="6228" width="61" style="1" customWidth="1"/>
    <col min="6229" max="6233" width="12" style="1" customWidth="1"/>
    <col min="6234" max="6235" width="6.59765625" style="1" customWidth="1"/>
    <col min="6236" max="6236" width="9.296875" style="1" customWidth="1"/>
    <col min="6237" max="6237" width="32.19921875" style="1" customWidth="1"/>
    <col min="6238" max="6482" width="9" style="1"/>
    <col min="6483" max="6483" width="1.19921875" style="1" customWidth="1"/>
    <col min="6484" max="6484" width="61" style="1" customWidth="1"/>
    <col min="6485" max="6489" width="12" style="1" customWidth="1"/>
    <col min="6490" max="6491" width="6.59765625" style="1" customWidth="1"/>
    <col min="6492" max="6492" width="9.296875" style="1" customWidth="1"/>
    <col min="6493" max="6493" width="32.19921875" style="1" customWidth="1"/>
    <col min="6494" max="6738" width="9" style="1"/>
    <col min="6739" max="6739" width="1.19921875" style="1" customWidth="1"/>
    <col min="6740" max="6740" width="61" style="1" customWidth="1"/>
    <col min="6741" max="6745" width="12" style="1" customWidth="1"/>
    <col min="6746" max="6747" width="6.59765625" style="1" customWidth="1"/>
    <col min="6748" max="6748" width="9.296875" style="1" customWidth="1"/>
    <col min="6749" max="6749" width="32.19921875" style="1" customWidth="1"/>
    <col min="6750" max="6994" width="9" style="1"/>
    <col min="6995" max="6995" width="1.19921875" style="1" customWidth="1"/>
    <col min="6996" max="6996" width="61" style="1" customWidth="1"/>
    <col min="6997" max="7001" width="12" style="1" customWidth="1"/>
    <col min="7002" max="7003" width="6.59765625" style="1" customWidth="1"/>
    <col min="7004" max="7004" width="9.296875" style="1" customWidth="1"/>
    <col min="7005" max="7005" width="32.19921875" style="1" customWidth="1"/>
    <col min="7006" max="7250" width="9" style="1"/>
    <col min="7251" max="7251" width="1.19921875" style="1" customWidth="1"/>
    <col min="7252" max="7252" width="61" style="1" customWidth="1"/>
    <col min="7253" max="7257" width="12" style="1" customWidth="1"/>
    <col min="7258" max="7259" width="6.59765625" style="1" customWidth="1"/>
    <col min="7260" max="7260" width="9.296875" style="1" customWidth="1"/>
    <col min="7261" max="7261" width="32.19921875" style="1" customWidth="1"/>
    <col min="7262" max="7506" width="9" style="1"/>
    <col min="7507" max="7507" width="1.19921875" style="1" customWidth="1"/>
    <col min="7508" max="7508" width="61" style="1" customWidth="1"/>
    <col min="7509" max="7513" width="12" style="1" customWidth="1"/>
    <col min="7514" max="7515" width="6.59765625" style="1" customWidth="1"/>
    <col min="7516" max="7516" width="9.296875" style="1" customWidth="1"/>
    <col min="7517" max="7517" width="32.19921875" style="1" customWidth="1"/>
    <col min="7518" max="7762" width="9" style="1"/>
    <col min="7763" max="7763" width="1.19921875" style="1" customWidth="1"/>
    <col min="7764" max="7764" width="61" style="1" customWidth="1"/>
    <col min="7765" max="7769" width="12" style="1" customWidth="1"/>
    <col min="7770" max="7771" width="6.59765625" style="1" customWidth="1"/>
    <col min="7772" max="7772" width="9.296875" style="1" customWidth="1"/>
    <col min="7773" max="7773" width="32.19921875" style="1" customWidth="1"/>
    <col min="7774" max="8018" width="9" style="1"/>
    <col min="8019" max="8019" width="1.19921875" style="1" customWidth="1"/>
    <col min="8020" max="8020" width="61" style="1" customWidth="1"/>
    <col min="8021" max="8025" width="12" style="1" customWidth="1"/>
    <col min="8026" max="8027" width="6.59765625" style="1" customWidth="1"/>
    <col min="8028" max="8028" width="9.296875" style="1" customWidth="1"/>
    <col min="8029" max="8029" width="32.19921875" style="1" customWidth="1"/>
    <col min="8030" max="8274" width="9" style="1"/>
    <col min="8275" max="8275" width="1.19921875" style="1" customWidth="1"/>
    <col min="8276" max="8276" width="61" style="1" customWidth="1"/>
    <col min="8277" max="8281" width="12" style="1" customWidth="1"/>
    <col min="8282" max="8283" width="6.59765625" style="1" customWidth="1"/>
    <col min="8284" max="8284" width="9.296875" style="1" customWidth="1"/>
    <col min="8285" max="8285" width="32.19921875" style="1" customWidth="1"/>
    <col min="8286" max="8530" width="9" style="1"/>
    <col min="8531" max="8531" width="1.19921875" style="1" customWidth="1"/>
    <col min="8532" max="8532" width="61" style="1" customWidth="1"/>
    <col min="8533" max="8537" width="12" style="1" customWidth="1"/>
    <col min="8538" max="8539" width="6.59765625" style="1" customWidth="1"/>
    <col min="8540" max="8540" width="9.296875" style="1" customWidth="1"/>
    <col min="8541" max="8541" width="32.19921875" style="1" customWidth="1"/>
    <col min="8542" max="8786" width="9" style="1"/>
    <col min="8787" max="8787" width="1.19921875" style="1" customWidth="1"/>
    <col min="8788" max="8788" width="61" style="1" customWidth="1"/>
    <col min="8789" max="8793" width="12" style="1" customWidth="1"/>
    <col min="8794" max="8795" width="6.59765625" style="1" customWidth="1"/>
    <col min="8796" max="8796" width="9.296875" style="1" customWidth="1"/>
    <col min="8797" max="8797" width="32.19921875" style="1" customWidth="1"/>
    <col min="8798" max="9042" width="9" style="1"/>
    <col min="9043" max="9043" width="1.19921875" style="1" customWidth="1"/>
    <col min="9044" max="9044" width="61" style="1" customWidth="1"/>
    <col min="9045" max="9049" width="12" style="1" customWidth="1"/>
    <col min="9050" max="9051" width="6.59765625" style="1" customWidth="1"/>
    <col min="9052" max="9052" width="9.296875" style="1" customWidth="1"/>
    <col min="9053" max="9053" width="32.19921875" style="1" customWidth="1"/>
    <col min="9054" max="9298" width="9" style="1"/>
    <col min="9299" max="9299" width="1.19921875" style="1" customWidth="1"/>
    <col min="9300" max="9300" width="61" style="1" customWidth="1"/>
    <col min="9301" max="9305" width="12" style="1" customWidth="1"/>
    <col min="9306" max="9307" width="6.59765625" style="1" customWidth="1"/>
    <col min="9308" max="9308" width="9.296875" style="1" customWidth="1"/>
    <col min="9309" max="9309" width="32.19921875" style="1" customWidth="1"/>
    <col min="9310" max="9554" width="9" style="1"/>
    <col min="9555" max="9555" width="1.19921875" style="1" customWidth="1"/>
    <col min="9556" max="9556" width="61" style="1" customWidth="1"/>
    <col min="9557" max="9561" width="12" style="1" customWidth="1"/>
    <col min="9562" max="9563" width="6.59765625" style="1" customWidth="1"/>
    <col min="9564" max="9564" width="9.296875" style="1" customWidth="1"/>
    <col min="9565" max="9565" width="32.19921875" style="1" customWidth="1"/>
    <col min="9566" max="9810" width="9" style="1"/>
    <col min="9811" max="9811" width="1.19921875" style="1" customWidth="1"/>
    <col min="9812" max="9812" width="61" style="1" customWidth="1"/>
    <col min="9813" max="9817" width="12" style="1" customWidth="1"/>
    <col min="9818" max="9819" width="6.59765625" style="1" customWidth="1"/>
    <col min="9820" max="9820" width="9.296875" style="1" customWidth="1"/>
    <col min="9821" max="9821" width="32.19921875" style="1" customWidth="1"/>
    <col min="9822" max="10066" width="9" style="1"/>
    <col min="10067" max="10067" width="1.19921875" style="1" customWidth="1"/>
    <col min="10068" max="10068" width="61" style="1" customWidth="1"/>
    <col min="10069" max="10073" width="12" style="1" customWidth="1"/>
    <col min="10074" max="10075" width="6.59765625" style="1" customWidth="1"/>
    <col min="10076" max="10076" width="9.296875" style="1" customWidth="1"/>
    <col min="10077" max="10077" width="32.19921875" style="1" customWidth="1"/>
    <col min="10078" max="10322" width="9" style="1"/>
    <col min="10323" max="10323" width="1.19921875" style="1" customWidth="1"/>
    <col min="10324" max="10324" width="61" style="1" customWidth="1"/>
    <col min="10325" max="10329" width="12" style="1" customWidth="1"/>
    <col min="10330" max="10331" width="6.59765625" style="1" customWidth="1"/>
    <col min="10332" max="10332" width="9.296875" style="1" customWidth="1"/>
    <col min="10333" max="10333" width="32.19921875" style="1" customWidth="1"/>
    <col min="10334" max="10578" width="9" style="1"/>
    <col min="10579" max="10579" width="1.19921875" style="1" customWidth="1"/>
    <col min="10580" max="10580" width="61" style="1" customWidth="1"/>
    <col min="10581" max="10585" width="12" style="1" customWidth="1"/>
    <col min="10586" max="10587" width="6.59765625" style="1" customWidth="1"/>
    <col min="10588" max="10588" width="9.296875" style="1" customWidth="1"/>
    <col min="10589" max="10589" width="32.19921875" style="1" customWidth="1"/>
    <col min="10590" max="10834" width="9" style="1"/>
    <col min="10835" max="10835" width="1.19921875" style="1" customWidth="1"/>
    <col min="10836" max="10836" width="61" style="1" customWidth="1"/>
    <col min="10837" max="10841" width="12" style="1" customWidth="1"/>
    <col min="10842" max="10843" width="6.59765625" style="1" customWidth="1"/>
    <col min="10844" max="10844" width="9.296875" style="1" customWidth="1"/>
    <col min="10845" max="10845" width="32.19921875" style="1" customWidth="1"/>
    <col min="10846" max="11090" width="9" style="1"/>
    <col min="11091" max="11091" width="1.19921875" style="1" customWidth="1"/>
    <col min="11092" max="11092" width="61" style="1" customWidth="1"/>
    <col min="11093" max="11097" width="12" style="1" customWidth="1"/>
    <col min="11098" max="11099" width="6.59765625" style="1" customWidth="1"/>
    <col min="11100" max="11100" width="9.296875" style="1" customWidth="1"/>
    <col min="11101" max="11101" width="32.19921875" style="1" customWidth="1"/>
    <col min="11102" max="11346" width="9" style="1"/>
    <col min="11347" max="11347" width="1.19921875" style="1" customWidth="1"/>
    <col min="11348" max="11348" width="61" style="1" customWidth="1"/>
    <col min="11349" max="11353" width="12" style="1" customWidth="1"/>
    <col min="11354" max="11355" width="6.59765625" style="1" customWidth="1"/>
    <col min="11356" max="11356" width="9.296875" style="1" customWidth="1"/>
    <col min="11357" max="11357" width="32.19921875" style="1" customWidth="1"/>
    <col min="11358" max="11602" width="9" style="1"/>
    <col min="11603" max="11603" width="1.19921875" style="1" customWidth="1"/>
    <col min="11604" max="11604" width="61" style="1" customWidth="1"/>
    <col min="11605" max="11609" width="12" style="1" customWidth="1"/>
    <col min="11610" max="11611" width="6.59765625" style="1" customWidth="1"/>
    <col min="11612" max="11612" width="9.296875" style="1" customWidth="1"/>
    <col min="11613" max="11613" width="32.19921875" style="1" customWidth="1"/>
    <col min="11614" max="11858" width="9" style="1"/>
    <col min="11859" max="11859" width="1.19921875" style="1" customWidth="1"/>
    <col min="11860" max="11860" width="61" style="1" customWidth="1"/>
    <col min="11861" max="11865" width="12" style="1" customWidth="1"/>
    <col min="11866" max="11867" width="6.59765625" style="1" customWidth="1"/>
    <col min="11868" max="11868" width="9.296875" style="1" customWidth="1"/>
    <col min="11869" max="11869" width="32.19921875" style="1" customWidth="1"/>
    <col min="11870" max="12114" width="9" style="1"/>
    <col min="12115" max="12115" width="1.19921875" style="1" customWidth="1"/>
    <col min="12116" max="12116" width="61" style="1" customWidth="1"/>
    <col min="12117" max="12121" width="12" style="1" customWidth="1"/>
    <col min="12122" max="12123" width="6.59765625" style="1" customWidth="1"/>
    <col min="12124" max="12124" width="9.296875" style="1" customWidth="1"/>
    <col min="12125" max="12125" width="32.19921875" style="1" customWidth="1"/>
    <col min="12126" max="12370" width="9" style="1"/>
    <col min="12371" max="12371" width="1.19921875" style="1" customWidth="1"/>
    <col min="12372" max="12372" width="61" style="1" customWidth="1"/>
    <col min="12373" max="12377" width="12" style="1" customWidth="1"/>
    <col min="12378" max="12379" width="6.59765625" style="1" customWidth="1"/>
    <col min="12380" max="12380" width="9.296875" style="1" customWidth="1"/>
    <col min="12381" max="12381" width="32.19921875" style="1" customWidth="1"/>
    <col min="12382" max="12626" width="9" style="1"/>
    <col min="12627" max="12627" width="1.19921875" style="1" customWidth="1"/>
    <col min="12628" max="12628" width="61" style="1" customWidth="1"/>
    <col min="12629" max="12633" width="12" style="1" customWidth="1"/>
    <col min="12634" max="12635" width="6.59765625" style="1" customWidth="1"/>
    <col min="12636" max="12636" width="9.296875" style="1" customWidth="1"/>
    <col min="12637" max="12637" width="32.19921875" style="1" customWidth="1"/>
    <col min="12638" max="12882" width="9" style="1"/>
    <col min="12883" max="12883" width="1.19921875" style="1" customWidth="1"/>
    <col min="12884" max="12884" width="61" style="1" customWidth="1"/>
    <col min="12885" max="12889" width="12" style="1" customWidth="1"/>
    <col min="12890" max="12891" width="6.59765625" style="1" customWidth="1"/>
    <col min="12892" max="12892" width="9.296875" style="1" customWidth="1"/>
    <col min="12893" max="12893" width="32.19921875" style="1" customWidth="1"/>
    <col min="12894" max="13138" width="9" style="1"/>
    <col min="13139" max="13139" width="1.19921875" style="1" customWidth="1"/>
    <col min="13140" max="13140" width="61" style="1" customWidth="1"/>
    <col min="13141" max="13145" width="12" style="1" customWidth="1"/>
    <col min="13146" max="13147" width="6.59765625" style="1" customWidth="1"/>
    <col min="13148" max="13148" width="9.296875" style="1" customWidth="1"/>
    <col min="13149" max="13149" width="32.19921875" style="1" customWidth="1"/>
    <col min="13150" max="13394" width="9" style="1"/>
    <col min="13395" max="13395" width="1.19921875" style="1" customWidth="1"/>
    <col min="13396" max="13396" width="61" style="1" customWidth="1"/>
    <col min="13397" max="13401" width="12" style="1" customWidth="1"/>
    <col min="13402" max="13403" width="6.59765625" style="1" customWidth="1"/>
    <col min="13404" max="13404" width="9.296875" style="1" customWidth="1"/>
    <col min="13405" max="13405" width="32.19921875" style="1" customWidth="1"/>
    <col min="13406" max="13650" width="9" style="1"/>
    <col min="13651" max="13651" width="1.19921875" style="1" customWidth="1"/>
    <col min="13652" max="13652" width="61" style="1" customWidth="1"/>
    <col min="13653" max="13657" width="12" style="1" customWidth="1"/>
    <col min="13658" max="13659" width="6.59765625" style="1" customWidth="1"/>
    <col min="13660" max="13660" width="9.296875" style="1" customWidth="1"/>
    <col min="13661" max="13661" width="32.19921875" style="1" customWidth="1"/>
    <col min="13662" max="13906" width="9" style="1"/>
    <col min="13907" max="13907" width="1.19921875" style="1" customWidth="1"/>
    <col min="13908" max="13908" width="61" style="1" customWidth="1"/>
    <col min="13909" max="13913" width="12" style="1" customWidth="1"/>
    <col min="13914" max="13915" width="6.59765625" style="1" customWidth="1"/>
    <col min="13916" max="13916" width="9.296875" style="1" customWidth="1"/>
    <col min="13917" max="13917" width="32.19921875" style="1" customWidth="1"/>
    <col min="13918" max="14162" width="9" style="1"/>
    <col min="14163" max="14163" width="1.19921875" style="1" customWidth="1"/>
    <col min="14164" max="14164" width="61" style="1" customWidth="1"/>
    <col min="14165" max="14169" width="12" style="1" customWidth="1"/>
    <col min="14170" max="14171" width="6.59765625" style="1" customWidth="1"/>
    <col min="14172" max="14172" width="9.296875" style="1" customWidth="1"/>
    <col min="14173" max="14173" width="32.19921875" style="1" customWidth="1"/>
    <col min="14174" max="14418" width="9" style="1"/>
    <col min="14419" max="14419" width="1.19921875" style="1" customWidth="1"/>
    <col min="14420" max="14420" width="61" style="1" customWidth="1"/>
    <col min="14421" max="14425" width="12" style="1" customWidth="1"/>
    <col min="14426" max="14427" width="6.59765625" style="1" customWidth="1"/>
    <col min="14428" max="14428" width="9.296875" style="1" customWidth="1"/>
    <col min="14429" max="14429" width="32.19921875" style="1" customWidth="1"/>
    <col min="14430" max="14674" width="9" style="1"/>
    <col min="14675" max="14675" width="1.19921875" style="1" customWidth="1"/>
    <col min="14676" max="14676" width="61" style="1" customWidth="1"/>
    <col min="14677" max="14681" width="12" style="1" customWidth="1"/>
    <col min="14682" max="14683" width="6.59765625" style="1" customWidth="1"/>
    <col min="14684" max="14684" width="9.296875" style="1" customWidth="1"/>
    <col min="14685" max="14685" width="32.19921875" style="1" customWidth="1"/>
    <col min="14686" max="14930" width="9" style="1"/>
    <col min="14931" max="14931" width="1.19921875" style="1" customWidth="1"/>
    <col min="14932" max="14932" width="61" style="1" customWidth="1"/>
    <col min="14933" max="14937" width="12" style="1" customWidth="1"/>
    <col min="14938" max="14939" width="6.59765625" style="1" customWidth="1"/>
    <col min="14940" max="14940" width="9.296875" style="1" customWidth="1"/>
    <col min="14941" max="14941" width="32.19921875" style="1" customWidth="1"/>
    <col min="14942" max="15186" width="9" style="1"/>
    <col min="15187" max="15187" width="1.19921875" style="1" customWidth="1"/>
    <col min="15188" max="15188" width="61" style="1" customWidth="1"/>
    <col min="15189" max="15193" width="12" style="1" customWidth="1"/>
    <col min="15194" max="15195" width="6.59765625" style="1" customWidth="1"/>
    <col min="15196" max="15196" width="9.296875" style="1" customWidth="1"/>
    <col min="15197" max="15197" width="32.19921875" style="1" customWidth="1"/>
    <col min="15198" max="15442" width="9" style="1"/>
    <col min="15443" max="15443" width="1.19921875" style="1" customWidth="1"/>
    <col min="15444" max="15444" width="61" style="1" customWidth="1"/>
    <col min="15445" max="15449" width="12" style="1" customWidth="1"/>
    <col min="15450" max="15451" width="6.59765625" style="1" customWidth="1"/>
    <col min="15452" max="15452" width="9.296875" style="1" customWidth="1"/>
    <col min="15453" max="15453" width="32.19921875" style="1" customWidth="1"/>
    <col min="15454" max="15698" width="9" style="1"/>
    <col min="15699" max="15699" width="1.19921875" style="1" customWidth="1"/>
    <col min="15700" max="15700" width="61" style="1" customWidth="1"/>
    <col min="15701" max="15705" width="12" style="1" customWidth="1"/>
    <col min="15706" max="15707" width="6.59765625" style="1" customWidth="1"/>
    <col min="15708" max="15708" width="9.296875" style="1" customWidth="1"/>
    <col min="15709" max="15709" width="32.19921875" style="1" customWidth="1"/>
    <col min="15710" max="15954" width="9" style="1"/>
    <col min="15955" max="15955" width="1.19921875" style="1" customWidth="1"/>
    <col min="15956" max="15956" width="61" style="1" customWidth="1"/>
    <col min="15957" max="15961" width="12" style="1" customWidth="1"/>
    <col min="15962" max="15963" width="6.59765625" style="1" customWidth="1"/>
    <col min="15964" max="15964" width="9.296875" style="1" customWidth="1"/>
    <col min="15965" max="15965" width="32.19921875" style="1" customWidth="1"/>
    <col min="15966" max="16384" width="9" style="1"/>
  </cols>
  <sheetData>
    <row r="1" spans="1:6" ht="13.8" x14ac:dyDescent="0.25">
      <c r="A1" s="11" t="s">
        <v>18</v>
      </c>
      <c r="B1" s="71"/>
      <c r="C1" s="61"/>
    </row>
    <row r="3" spans="1:6" ht="29.7" customHeight="1" x14ac:dyDescent="0.25">
      <c r="A3" s="679" t="s">
        <v>839</v>
      </c>
      <c r="B3" s="679"/>
      <c r="C3" s="679"/>
      <c r="D3" s="128"/>
      <c r="E3" s="128"/>
    </row>
    <row r="4" spans="1:6" ht="13.8" x14ac:dyDescent="0.25">
      <c r="A4" s="11"/>
      <c r="B4" s="11"/>
    </row>
    <row r="5" spans="1:6" ht="13.8" x14ac:dyDescent="0.25">
      <c r="A5" s="18"/>
      <c r="B5" s="11"/>
    </row>
    <row r="6" spans="1:6" ht="78.75" customHeight="1" x14ac:dyDescent="0.25">
      <c r="A6" s="673" t="s">
        <v>840</v>
      </c>
      <c r="B6" s="673"/>
      <c r="C6" s="673"/>
      <c r="D6" s="673"/>
      <c r="E6" s="673"/>
      <c r="F6" s="5"/>
    </row>
    <row r="7" spans="1:6" ht="74.25" customHeight="1" x14ac:dyDescent="0.25">
      <c r="A7" s="673" t="s">
        <v>185</v>
      </c>
      <c r="B7" s="673"/>
      <c r="C7" s="673"/>
      <c r="D7" s="673"/>
      <c r="E7" s="673"/>
    </row>
    <row r="8" spans="1:6" ht="14.4" thickBot="1" x14ac:dyDescent="0.3">
      <c r="A8" s="83"/>
      <c r="B8" s="99"/>
      <c r="C8" s="83"/>
      <c r="D8" s="83"/>
    </row>
    <row r="9" spans="1:6" ht="45" customHeight="1" thickBot="1" x14ac:dyDescent="0.3">
      <c r="A9" s="119"/>
      <c r="B9" s="119" t="s">
        <v>186</v>
      </c>
      <c r="C9" s="119" t="s">
        <v>96</v>
      </c>
      <c r="D9" s="119" t="s">
        <v>97</v>
      </c>
      <c r="E9" s="62"/>
    </row>
    <row r="10" spans="1:6" x14ac:dyDescent="0.25">
      <c r="A10" s="352"/>
      <c r="B10" s="352"/>
      <c r="C10" s="38"/>
    </row>
    <row r="11" spans="1:6" ht="15" customHeight="1" x14ac:dyDescent="0.25">
      <c r="A11" s="8" t="s">
        <v>98</v>
      </c>
      <c r="B11" s="395" t="s">
        <v>900</v>
      </c>
      <c r="C11" s="518"/>
      <c r="D11" s="507"/>
      <c r="E11" s="64"/>
      <c r="F11" s="45"/>
    </row>
    <row r="12" spans="1:6" ht="15" customHeight="1" x14ac:dyDescent="0.25">
      <c r="A12" s="352"/>
      <c r="B12" s="344"/>
      <c r="C12" s="517"/>
      <c r="D12" s="507"/>
      <c r="E12" s="54"/>
      <c r="F12" s="45"/>
    </row>
    <row r="13" spans="1:6" ht="15" customHeight="1" x14ac:dyDescent="0.25">
      <c r="A13" s="351" t="s">
        <v>99</v>
      </c>
      <c r="B13" s="519" t="s">
        <v>901</v>
      </c>
      <c r="C13" s="394"/>
      <c r="D13" s="507"/>
      <c r="E13" s="54"/>
      <c r="F13" s="45"/>
    </row>
    <row r="14" spans="1:6" ht="15" customHeight="1" x14ac:dyDescent="0.25">
      <c r="A14" s="351"/>
      <c r="B14" s="520"/>
      <c r="C14" s="517"/>
      <c r="D14" s="507"/>
      <c r="E14" s="54"/>
      <c r="F14" s="45"/>
    </row>
    <row r="15" spans="1:6" ht="15" customHeight="1" x14ac:dyDescent="0.25">
      <c r="A15" s="126" t="s">
        <v>100</v>
      </c>
      <c r="B15" s="541" t="s">
        <v>902</v>
      </c>
      <c r="C15" s="323"/>
      <c r="D15" s="503"/>
      <c r="E15" s="54"/>
      <c r="F15" s="45"/>
    </row>
    <row r="16" spans="1:6" ht="15" customHeight="1" x14ac:dyDescent="0.25">
      <c r="A16" s="27" t="s">
        <v>101</v>
      </c>
      <c r="B16" s="515"/>
      <c r="C16" s="504"/>
      <c r="D16" s="503"/>
      <c r="E16" s="54"/>
      <c r="F16" s="45"/>
    </row>
    <row r="17" spans="1:6" ht="15" customHeight="1" x14ac:dyDescent="0.25">
      <c r="A17" s="27" t="s">
        <v>102</v>
      </c>
      <c r="B17" s="396"/>
      <c r="C17" s="504"/>
      <c r="D17" s="503"/>
      <c r="E17" s="54"/>
      <c r="F17" s="45"/>
    </row>
    <row r="18" spans="1:6" ht="15" customHeight="1" x14ac:dyDescent="0.25">
      <c r="B18" s="521"/>
      <c r="C18" s="504"/>
      <c r="D18" s="503"/>
      <c r="F18" s="45"/>
    </row>
    <row r="19" spans="1:6" ht="15" customHeight="1" x14ac:dyDescent="0.25">
      <c r="A19" s="126" t="s">
        <v>103</v>
      </c>
      <c r="B19" s="521" t="s">
        <v>903</v>
      </c>
      <c r="C19" s="323"/>
      <c r="D19" s="503"/>
      <c r="F19" s="45"/>
    </row>
    <row r="20" spans="1:6" ht="15" customHeight="1" x14ac:dyDescent="0.25">
      <c r="A20" s="27" t="s">
        <v>104</v>
      </c>
      <c r="B20" s="515"/>
      <c r="C20" s="504"/>
      <c r="D20" s="503"/>
      <c r="F20" s="45"/>
    </row>
    <row r="21" spans="1:6" ht="15" customHeight="1" x14ac:dyDescent="0.25">
      <c r="A21" s="27" t="s">
        <v>105</v>
      </c>
      <c r="B21" s="396"/>
      <c r="C21" s="504"/>
      <c r="D21" s="503"/>
      <c r="F21" s="45"/>
    </row>
    <row r="22" spans="1:6" ht="15" customHeight="1" x14ac:dyDescent="0.25">
      <c r="A22" s="27" t="s">
        <v>106</v>
      </c>
      <c r="B22" s="515"/>
      <c r="C22" s="504"/>
      <c r="D22" s="503"/>
      <c r="F22" s="45"/>
    </row>
    <row r="23" spans="1:6" ht="15" customHeight="1" x14ac:dyDescent="0.25">
      <c r="A23" s="27" t="s">
        <v>107</v>
      </c>
      <c r="B23" s="396"/>
      <c r="C23" s="504"/>
      <c r="D23" s="503"/>
      <c r="F23" s="45"/>
    </row>
    <row r="24" spans="1:6" ht="15" customHeight="1" x14ac:dyDescent="0.25">
      <c r="A24" s="25"/>
      <c r="B24" s="514"/>
      <c r="C24" s="517"/>
      <c r="D24" s="503"/>
      <c r="E24" s="54"/>
      <c r="F24" s="45"/>
    </row>
    <row r="25" spans="1:6" ht="15" customHeight="1" x14ac:dyDescent="0.25">
      <c r="A25" s="351" t="s">
        <v>108</v>
      </c>
      <c r="B25" s="542" t="s">
        <v>904</v>
      </c>
      <c r="C25" s="394"/>
      <c r="D25" s="507"/>
      <c r="E25" s="54"/>
      <c r="F25" s="45"/>
    </row>
    <row r="26" spans="1:6" ht="15" customHeight="1" x14ac:dyDescent="0.25">
      <c r="A26" s="122" t="s">
        <v>109</v>
      </c>
      <c r="B26" s="515"/>
      <c r="C26" s="504"/>
      <c r="D26" s="503"/>
      <c r="F26" s="45"/>
    </row>
    <row r="27" spans="1:6" ht="15" customHeight="1" x14ac:dyDescent="0.25">
      <c r="A27" s="122" t="s">
        <v>110</v>
      </c>
      <c r="B27" s="396"/>
      <c r="C27" s="504"/>
      <c r="D27" s="503"/>
      <c r="F27" s="45"/>
    </row>
    <row r="28" spans="1:6" ht="15" customHeight="1" x14ac:dyDescent="0.25">
      <c r="A28" s="122" t="s">
        <v>952</v>
      </c>
      <c r="B28" s="516"/>
      <c r="C28" s="648"/>
      <c r="D28" s="89"/>
      <c r="F28" s="45"/>
    </row>
    <row r="29" spans="1:6" ht="15" customHeight="1" x14ac:dyDescent="0.25">
      <c r="A29" s="122" t="s">
        <v>953</v>
      </c>
      <c r="B29" s="516"/>
      <c r="C29" s="648"/>
      <c r="D29" s="89"/>
      <c r="F29" s="45"/>
    </row>
    <row r="30" spans="1:6" ht="15" customHeight="1" x14ac:dyDescent="0.25">
      <c r="A30" s="122" t="s">
        <v>954</v>
      </c>
      <c r="B30" s="396"/>
      <c r="C30" s="648"/>
      <c r="D30" s="89"/>
      <c r="F30" s="45"/>
    </row>
    <row r="31" spans="1:6" ht="13.8" thickBot="1" x14ac:dyDescent="0.3">
      <c r="A31" s="82"/>
      <c r="B31" s="100"/>
      <c r="C31" s="101"/>
      <c r="D31" s="83"/>
    </row>
    <row r="32" spans="1:6" x14ac:dyDescent="0.25">
      <c r="A32" s="18"/>
      <c r="B32" s="352"/>
    </row>
    <row r="33" spans="1:8" ht="12.75" customHeight="1" x14ac:dyDescent="0.25">
      <c r="A33" s="673" t="s">
        <v>826</v>
      </c>
      <c r="B33" s="673"/>
      <c r="C33" s="673"/>
      <c r="D33" s="673"/>
      <c r="E33" s="673"/>
      <c r="F33" s="352"/>
      <c r="H33" s="54"/>
    </row>
    <row r="34" spans="1:8" x14ac:dyDescent="0.25">
      <c r="A34" s="351"/>
      <c r="B34" s="351"/>
      <c r="C34" s="351"/>
      <c r="D34" s="351"/>
      <c r="E34" s="75"/>
      <c r="H34" s="54"/>
    </row>
    <row r="35" spans="1:8" ht="97.5" customHeight="1" x14ac:dyDescent="0.25">
      <c r="A35" s="673" t="s">
        <v>187</v>
      </c>
      <c r="B35" s="673"/>
      <c r="C35" s="673"/>
      <c r="D35" s="673"/>
      <c r="E35" s="673"/>
      <c r="H35" s="54"/>
    </row>
    <row r="36" spans="1:8" x14ac:dyDescent="0.25">
      <c r="A36" s="352"/>
    </row>
    <row r="37" spans="1:8" ht="32.25" customHeight="1" x14ac:dyDescent="0.25">
      <c r="A37" s="674" t="s">
        <v>93</v>
      </c>
      <c r="B37" s="674"/>
      <c r="C37" s="674"/>
      <c r="D37" s="674"/>
      <c r="E37" s="674"/>
    </row>
    <row r="38" spans="1:8" ht="30" customHeight="1" x14ac:dyDescent="0.25">
      <c r="A38" s="697" t="s">
        <v>94</v>
      </c>
      <c r="B38" s="697"/>
      <c r="C38" s="697"/>
      <c r="D38" s="697"/>
      <c r="E38" s="697"/>
    </row>
    <row r="39" spans="1:8" ht="12.75" customHeight="1" x14ac:dyDescent="0.25">
      <c r="A39" s="19"/>
      <c r="B39" s="19"/>
    </row>
    <row r="40" spans="1:8" ht="12.75" customHeight="1" x14ac:dyDescent="0.25">
      <c r="A40" s="19"/>
      <c r="B40" s="19"/>
      <c r="C40" s="348"/>
    </row>
  </sheetData>
  <mergeCells count="7">
    <mergeCell ref="A38:E38"/>
    <mergeCell ref="A3:C3"/>
    <mergeCell ref="A35:E35"/>
    <mergeCell ref="A7:E7"/>
    <mergeCell ref="A6:E6"/>
    <mergeCell ref="A33:E33"/>
    <mergeCell ref="A37:E37"/>
  </mergeCells>
  <pageMargins left="0.25" right="0.25" top="0.75" bottom="0.75" header="0.3" footer="0.3"/>
  <pageSetup paperSize="9" scale="59" fitToHeight="0" orientation="landscape"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53"/>
  <sheetViews>
    <sheetView showGridLines="0" workbookViewId="0"/>
  </sheetViews>
  <sheetFormatPr defaultRowHeight="13.2" x14ac:dyDescent="0.25"/>
  <cols>
    <col min="1" max="1" width="31" style="1" customWidth="1"/>
    <col min="2" max="2" width="17.19921875" style="1" customWidth="1"/>
    <col min="3" max="3" width="10.5" style="1" customWidth="1"/>
    <col min="4" max="4" width="13.796875" style="1" customWidth="1"/>
    <col min="5" max="5" width="11.796875" style="1" customWidth="1"/>
    <col min="6" max="6" width="12.69921875" style="1" customWidth="1"/>
    <col min="7" max="7" width="10.19921875" style="1" customWidth="1"/>
    <col min="8" max="8" width="10.5" style="1" bestFit="1" customWidth="1"/>
    <col min="9" max="10" width="23.09765625" style="1" bestFit="1" customWidth="1"/>
    <col min="11" max="82" width="9" style="1"/>
    <col min="83" max="83" width="1.19921875" style="1" customWidth="1"/>
    <col min="84" max="84" width="61" style="1" customWidth="1"/>
    <col min="85" max="89" width="12" style="1" customWidth="1"/>
    <col min="90" max="91" width="6.59765625" style="1" customWidth="1"/>
    <col min="92" max="92" width="9.296875" style="1" customWidth="1"/>
    <col min="93" max="93" width="32.19921875" style="1" customWidth="1"/>
    <col min="94" max="338" width="9" style="1"/>
    <col min="339" max="339" width="1.19921875" style="1" customWidth="1"/>
    <col min="340" max="340" width="61" style="1" customWidth="1"/>
    <col min="341" max="345" width="12" style="1" customWidth="1"/>
    <col min="346" max="347" width="6.59765625" style="1" customWidth="1"/>
    <col min="348" max="348" width="9.296875" style="1" customWidth="1"/>
    <col min="349" max="349" width="32.19921875" style="1" customWidth="1"/>
    <col min="350" max="594" width="9" style="1"/>
    <col min="595" max="595" width="1.19921875" style="1" customWidth="1"/>
    <col min="596" max="596" width="61" style="1" customWidth="1"/>
    <col min="597" max="601" width="12" style="1" customWidth="1"/>
    <col min="602" max="603" width="6.59765625" style="1" customWidth="1"/>
    <col min="604" max="604" width="9.296875" style="1" customWidth="1"/>
    <col min="605" max="605" width="32.19921875" style="1" customWidth="1"/>
    <col min="606" max="850" width="9" style="1"/>
    <col min="851" max="851" width="1.19921875" style="1" customWidth="1"/>
    <col min="852" max="852" width="61" style="1" customWidth="1"/>
    <col min="853" max="857" width="12" style="1" customWidth="1"/>
    <col min="858" max="859" width="6.59765625" style="1" customWidth="1"/>
    <col min="860" max="860" width="9.296875" style="1" customWidth="1"/>
    <col min="861" max="861" width="32.19921875" style="1" customWidth="1"/>
    <col min="862" max="1106" width="9" style="1"/>
    <col min="1107" max="1107" width="1.19921875" style="1" customWidth="1"/>
    <col min="1108" max="1108" width="61" style="1" customWidth="1"/>
    <col min="1109" max="1113" width="12" style="1" customWidth="1"/>
    <col min="1114" max="1115" width="6.59765625" style="1" customWidth="1"/>
    <col min="1116" max="1116" width="9.296875" style="1" customWidth="1"/>
    <col min="1117" max="1117" width="32.19921875" style="1" customWidth="1"/>
    <col min="1118" max="1362" width="9" style="1"/>
    <col min="1363" max="1363" width="1.19921875" style="1" customWidth="1"/>
    <col min="1364" max="1364" width="61" style="1" customWidth="1"/>
    <col min="1365" max="1369" width="12" style="1" customWidth="1"/>
    <col min="1370" max="1371" width="6.59765625" style="1" customWidth="1"/>
    <col min="1372" max="1372" width="9.296875" style="1" customWidth="1"/>
    <col min="1373" max="1373" width="32.19921875" style="1" customWidth="1"/>
    <col min="1374" max="1618" width="9" style="1"/>
    <col min="1619" max="1619" width="1.19921875" style="1" customWidth="1"/>
    <col min="1620" max="1620" width="61" style="1" customWidth="1"/>
    <col min="1621" max="1625" width="12" style="1" customWidth="1"/>
    <col min="1626" max="1627" width="6.59765625" style="1" customWidth="1"/>
    <col min="1628" max="1628" width="9.296875" style="1" customWidth="1"/>
    <col min="1629" max="1629" width="32.19921875" style="1" customWidth="1"/>
    <col min="1630" max="1874" width="9" style="1"/>
    <col min="1875" max="1875" width="1.19921875" style="1" customWidth="1"/>
    <col min="1876" max="1876" width="61" style="1" customWidth="1"/>
    <col min="1877" max="1881" width="12" style="1" customWidth="1"/>
    <col min="1882" max="1883" width="6.59765625" style="1" customWidth="1"/>
    <col min="1884" max="1884" width="9.296875" style="1" customWidth="1"/>
    <col min="1885" max="1885" width="32.19921875" style="1" customWidth="1"/>
    <col min="1886" max="2130" width="9" style="1"/>
    <col min="2131" max="2131" width="1.19921875" style="1" customWidth="1"/>
    <col min="2132" max="2132" width="61" style="1" customWidth="1"/>
    <col min="2133" max="2137" width="12" style="1" customWidth="1"/>
    <col min="2138" max="2139" width="6.59765625" style="1" customWidth="1"/>
    <col min="2140" max="2140" width="9.296875" style="1" customWidth="1"/>
    <col min="2141" max="2141" width="32.19921875" style="1" customWidth="1"/>
    <col min="2142" max="2386" width="9" style="1"/>
    <col min="2387" max="2387" width="1.19921875" style="1" customWidth="1"/>
    <col min="2388" max="2388" width="61" style="1" customWidth="1"/>
    <col min="2389" max="2393" width="12" style="1" customWidth="1"/>
    <col min="2394" max="2395" width="6.59765625" style="1" customWidth="1"/>
    <col min="2396" max="2396" width="9.296875" style="1" customWidth="1"/>
    <col min="2397" max="2397" width="32.19921875" style="1" customWidth="1"/>
    <col min="2398" max="2642" width="9" style="1"/>
    <col min="2643" max="2643" width="1.19921875" style="1" customWidth="1"/>
    <col min="2644" max="2644" width="61" style="1" customWidth="1"/>
    <col min="2645" max="2649" width="12" style="1" customWidth="1"/>
    <col min="2650" max="2651" width="6.59765625" style="1" customWidth="1"/>
    <col min="2652" max="2652" width="9.296875" style="1" customWidth="1"/>
    <col min="2653" max="2653" width="32.19921875" style="1" customWidth="1"/>
    <col min="2654" max="2898" width="9" style="1"/>
    <col min="2899" max="2899" width="1.19921875" style="1" customWidth="1"/>
    <col min="2900" max="2900" width="61" style="1" customWidth="1"/>
    <col min="2901" max="2905" width="12" style="1" customWidth="1"/>
    <col min="2906" max="2907" width="6.59765625" style="1" customWidth="1"/>
    <col min="2908" max="2908" width="9.296875" style="1" customWidth="1"/>
    <col min="2909" max="2909" width="32.19921875" style="1" customWidth="1"/>
    <col min="2910" max="3154" width="9" style="1"/>
    <col min="3155" max="3155" width="1.19921875" style="1" customWidth="1"/>
    <col min="3156" max="3156" width="61" style="1" customWidth="1"/>
    <col min="3157" max="3161" width="12" style="1" customWidth="1"/>
    <col min="3162" max="3163" width="6.59765625" style="1" customWidth="1"/>
    <col min="3164" max="3164" width="9.296875" style="1" customWidth="1"/>
    <col min="3165" max="3165" width="32.19921875" style="1" customWidth="1"/>
    <col min="3166" max="3410" width="9" style="1"/>
    <col min="3411" max="3411" width="1.19921875" style="1" customWidth="1"/>
    <col min="3412" max="3412" width="61" style="1" customWidth="1"/>
    <col min="3413" max="3417" width="12" style="1" customWidth="1"/>
    <col min="3418" max="3419" width="6.59765625" style="1" customWidth="1"/>
    <col min="3420" max="3420" width="9.296875" style="1" customWidth="1"/>
    <col min="3421" max="3421" width="32.19921875" style="1" customWidth="1"/>
    <col min="3422" max="3666" width="9" style="1"/>
    <col min="3667" max="3667" width="1.19921875" style="1" customWidth="1"/>
    <col min="3668" max="3668" width="61" style="1" customWidth="1"/>
    <col min="3669" max="3673" width="12" style="1" customWidth="1"/>
    <col min="3674" max="3675" width="6.59765625" style="1" customWidth="1"/>
    <col min="3676" max="3676" width="9.296875" style="1" customWidth="1"/>
    <col min="3677" max="3677" width="32.19921875" style="1" customWidth="1"/>
    <col min="3678" max="3922" width="9" style="1"/>
    <col min="3923" max="3923" width="1.19921875" style="1" customWidth="1"/>
    <col min="3924" max="3924" width="61" style="1" customWidth="1"/>
    <col min="3925" max="3929" width="12" style="1" customWidth="1"/>
    <col min="3930" max="3931" width="6.59765625" style="1" customWidth="1"/>
    <col min="3932" max="3932" width="9.296875" style="1" customWidth="1"/>
    <col min="3933" max="3933" width="32.19921875" style="1" customWidth="1"/>
    <col min="3934" max="4178" width="9" style="1"/>
    <col min="4179" max="4179" width="1.19921875" style="1" customWidth="1"/>
    <col min="4180" max="4180" width="61" style="1" customWidth="1"/>
    <col min="4181" max="4185" width="12" style="1" customWidth="1"/>
    <col min="4186" max="4187" width="6.59765625" style="1" customWidth="1"/>
    <col min="4188" max="4188" width="9.296875" style="1" customWidth="1"/>
    <col min="4189" max="4189" width="32.19921875" style="1" customWidth="1"/>
    <col min="4190" max="4434" width="9" style="1"/>
    <col min="4435" max="4435" width="1.19921875" style="1" customWidth="1"/>
    <col min="4436" max="4436" width="61" style="1" customWidth="1"/>
    <col min="4437" max="4441" width="12" style="1" customWidth="1"/>
    <col min="4442" max="4443" width="6.59765625" style="1" customWidth="1"/>
    <col min="4444" max="4444" width="9.296875" style="1" customWidth="1"/>
    <col min="4445" max="4445" width="32.19921875" style="1" customWidth="1"/>
    <col min="4446" max="4690" width="9" style="1"/>
    <col min="4691" max="4691" width="1.19921875" style="1" customWidth="1"/>
    <col min="4692" max="4692" width="61" style="1" customWidth="1"/>
    <col min="4693" max="4697" width="12" style="1" customWidth="1"/>
    <col min="4698" max="4699" width="6.59765625" style="1" customWidth="1"/>
    <col min="4700" max="4700" width="9.296875" style="1" customWidth="1"/>
    <col min="4701" max="4701" width="32.19921875" style="1" customWidth="1"/>
    <col min="4702" max="4946" width="9" style="1"/>
    <col min="4947" max="4947" width="1.19921875" style="1" customWidth="1"/>
    <col min="4948" max="4948" width="61" style="1" customWidth="1"/>
    <col min="4949" max="4953" width="12" style="1" customWidth="1"/>
    <col min="4954" max="4955" width="6.59765625" style="1" customWidth="1"/>
    <col min="4956" max="4956" width="9.296875" style="1" customWidth="1"/>
    <col min="4957" max="4957" width="32.19921875" style="1" customWidth="1"/>
    <col min="4958" max="5202" width="9" style="1"/>
    <col min="5203" max="5203" width="1.19921875" style="1" customWidth="1"/>
    <col min="5204" max="5204" width="61" style="1" customWidth="1"/>
    <col min="5205" max="5209" width="12" style="1" customWidth="1"/>
    <col min="5210" max="5211" width="6.59765625" style="1" customWidth="1"/>
    <col min="5212" max="5212" width="9.296875" style="1" customWidth="1"/>
    <col min="5213" max="5213" width="32.19921875" style="1" customWidth="1"/>
    <col min="5214" max="5458" width="9" style="1"/>
    <col min="5459" max="5459" width="1.19921875" style="1" customWidth="1"/>
    <col min="5460" max="5460" width="61" style="1" customWidth="1"/>
    <col min="5461" max="5465" width="12" style="1" customWidth="1"/>
    <col min="5466" max="5467" width="6.59765625" style="1" customWidth="1"/>
    <col min="5468" max="5468" width="9.296875" style="1" customWidth="1"/>
    <col min="5469" max="5469" width="32.19921875" style="1" customWidth="1"/>
    <col min="5470" max="5714" width="9" style="1"/>
    <col min="5715" max="5715" width="1.19921875" style="1" customWidth="1"/>
    <col min="5716" max="5716" width="61" style="1" customWidth="1"/>
    <col min="5717" max="5721" width="12" style="1" customWidth="1"/>
    <col min="5722" max="5723" width="6.59765625" style="1" customWidth="1"/>
    <col min="5724" max="5724" width="9.296875" style="1" customWidth="1"/>
    <col min="5725" max="5725" width="32.19921875" style="1" customWidth="1"/>
    <col min="5726" max="5970" width="9" style="1"/>
    <col min="5971" max="5971" width="1.19921875" style="1" customWidth="1"/>
    <col min="5972" max="5972" width="61" style="1" customWidth="1"/>
    <col min="5973" max="5977" width="12" style="1" customWidth="1"/>
    <col min="5978" max="5979" width="6.59765625" style="1" customWidth="1"/>
    <col min="5980" max="5980" width="9.296875" style="1" customWidth="1"/>
    <col min="5981" max="5981" width="32.19921875" style="1" customWidth="1"/>
    <col min="5982" max="6226" width="9" style="1"/>
    <col min="6227" max="6227" width="1.19921875" style="1" customWidth="1"/>
    <col min="6228" max="6228" width="61" style="1" customWidth="1"/>
    <col min="6229" max="6233" width="12" style="1" customWidth="1"/>
    <col min="6234" max="6235" width="6.59765625" style="1" customWidth="1"/>
    <col min="6236" max="6236" width="9.296875" style="1" customWidth="1"/>
    <col min="6237" max="6237" width="32.19921875" style="1" customWidth="1"/>
    <col min="6238" max="6482" width="9" style="1"/>
    <col min="6483" max="6483" width="1.19921875" style="1" customWidth="1"/>
    <col min="6484" max="6484" width="61" style="1" customWidth="1"/>
    <col min="6485" max="6489" width="12" style="1" customWidth="1"/>
    <col min="6490" max="6491" width="6.59765625" style="1" customWidth="1"/>
    <col min="6492" max="6492" width="9.296875" style="1" customWidth="1"/>
    <col min="6493" max="6493" width="32.19921875" style="1" customWidth="1"/>
    <col min="6494" max="6738" width="9" style="1"/>
    <col min="6739" max="6739" width="1.19921875" style="1" customWidth="1"/>
    <col min="6740" max="6740" width="61" style="1" customWidth="1"/>
    <col min="6741" max="6745" width="12" style="1" customWidth="1"/>
    <col min="6746" max="6747" width="6.59765625" style="1" customWidth="1"/>
    <col min="6748" max="6748" width="9.296875" style="1" customWidth="1"/>
    <col min="6749" max="6749" width="32.19921875" style="1" customWidth="1"/>
    <col min="6750" max="6994" width="9" style="1"/>
    <col min="6995" max="6995" width="1.19921875" style="1" customWidth="1"/>
    <col min="6996" max="6996" width="61" style="1" customWidth="1"/>
    <col min="6997" max="7001" width="12" style="1" customWidth="1"/>
    <col min="7002" max="7003" width="6.59765625" style="1" customWidth="1"/>
    <col min="7004" max="7004" width="9.296875" style="1" customWidth="1"/>
    <col min="7005" max="7005" width="32.19921875" style="1" customWidth="1"/>
    <col min="7006" max="7250" width="9" style="1"/>
    <col min="7251" max="7251" width="1.19921875" style="1" customWidth="1"/>
    <col min="7252" max="7252" width="61" style="1" customWidth="1"/>
    <col min="7253" max="7257" width="12" style="1" customWidth="1"/>
    <col min="7258" max="7259" width="6.59765625" style="1" customWidth="1"/>
    <col min="7260" max="7260" width="9.296875" style="1" customWidth="1"/>
    <col min="7261" max="7261" width="32.19921875" style="1" customWidth="1"/>
    <col min="7262" max="7506" width="9" style="1"/>
    <col min="7507" max="7507" width="1.19921875" style="1" customWidth="1"/>
    <col min="7508" max="7508" width="61" style="1" customWidth="1"/>
    <col min="7509" max="7513" width="12" style="1" customWidth="1"/>
    <col min="7514" max="7515" width="6.59765625" style="1" customWidth="1"/>
    <col min="7516" max="7516" width="9.296875" style="1" customWidth="1"/>
    <col min="7517" max="7517" width="32.19921875" style="1" customWidth="1"/>
    <col min="7518" max="7762" width="9" style="1"/>
    <col min="7763" max="7763" width="1.19921875" style="1" customWidth="1"/>
    <col min="7764" max="7764" width="61" style="1" customWidth="1"/>
    <col min="7765" max="7769" width="12" style="1" customWidth="1"/>
    <col min="7770" max="7771" width="6.59765625" style="1" customWidth="1"/>
    <col min="7772" max="7772" width="9.296875" style="1" customWidth="1"/>
    <col min="7773" max="7773" width="32.19921875" style="1" customWidth="1"/>
    <col min="7774" max="8018" width="9" style="1"/>
    <col min="8019" max="8019" width="1.19921875" style="1" customWidth="1"/>
    <col min="8020" max="8020" width="61" style="1" customWidth="1"/>
    <col min="8021" max="8025" width="12" style="1" customWidth="1"/>
    <col min="8026" max="8027" width="6.59765625" style="1" customWidth="1"/>
    <col min="8028" max="8028" width="9.296875" style="1" customWidth="1"/>
    <col min="8029" max="8029" width="32.19921875" style="1" customWidth="1"/>
    <col min="8030" max="8274" width="9" style="1"/>
    <col min="8275" max="8275" width="1.19921875" style="1" customWidth="1"/>
    <col min="8276" max="8276" width="61" style="1" customWidth="1"/>
    <col min="8277" max="8281" width="12" style="1" customWidth="1"/>
    <col min="8282" max="8283" width="6.59765625" style="1" customWidth="1"/>
    <col min="8284" max="8284" width="9.296875" style="1" customWidth="1"/>
    <col min="8285" max="8285" width="32.19921875" style="1" customWidth="1"/>
    <col min="8286" max="8530" width="9" style="1"/>
    <col min="8531" max="8531" width="1.19921875" style="1" customWidth="1"/>
    <col min="8532" max="8532" width="61" style="1" customWidth="1"/>
    <col min="8533" max="8537" width="12" style="1" customWidth="1"/>
    <col min="8538" max="8539" width="6.59765625" style="1" customWidth="1"/>
    <col min="8540" max="8540" width="9.296875" style="1" customWidth="1"/>
    <col min="8541" max="8541" width="32.19921875" style="1" customWidth="1"/>
    <col min="8542" max="8786" width="9" style="1"/>
    <col min="8787" max="8787" width="1.19921875" style="1" customWidth="1"/>
    <col min="8788" max="8788" width="61" style="1" customWidth="1"/>
    <col min="8789" max="8793" width="12" style="1" customWidth="1"/>
    <col min="8794" max="8795" width="6.59765625" style="1" customWidth="1"/>
    <col min="8796" max="8796" width="9.296875" style="1" customWidth="1"/>
    <col min="8797" max="8797" width="32.19921875" style="1" customWidth="1"/>
    <col min="8798" max="9042" width="9" style="1"/>
    <col min="9043" max="9043" width="1.19921875" style="1" customWidth="1"/>
    <col min="9044" max="9044" width="61" style="1" customWidth="1"/>
    <col min="9045" max="9049" width="12" style="1" customWidth="1"/>
    <col min="9050" max="9051" width="6.59765625" style="1" customWidth="1"/>
    <col min="9052" max="9052" width="9.296875" style="1" customWidth="1"/>
    <col min="9053" max="9053" width="32.19921875" style="1" customWidth="1"/>
    <col min="9054" max="9298" width="9" style="1"/>
    <col min="9299" max="9299" width="1.19921875" style="1" customWidth="1"/>
    <col min="9300" max="9300" width="61" style="1" customWidth="1"/>
    <col min="9301" max="9305" width="12" style="1" customWidth="1"/>
    <col min="9306" max="9307" width="6.59765625" style="1" customWidth="1"/>
    <col min="9308" max="9308" width="9.296875" style="1" customWidth="1"/>
    <col min="9309" max="9309" width="32.19921875" style="1" customWidth="1"/>
    <col min="9310" max="9554" width="9" style="1"/>
    <col min="9555" max="9555" width="1.19921875" style="1" customWidth="1"/>
    <col min="9556" max="9556" width="61" style="1" customWidth="1"/>
    <col min="9557" max="9561" width="12" style="1" customWidth="1"/>
    <col min="9562" max="9563" width="6.59765625" style="1" customWidth="1"/>
    <col min="9564" max="9564" width="9.296875" style="1" customWidth="1"/>
    <col min="9565" max="9565" width="32.19921875" style="1" customWidth="1"/>
    <col min="9566" max="9810" width="9" style="1"/>
    <col min="9811" max="9811" width="1.19921875" style="1" customWidth="1"/>
    <col min="9812" max="9812" width="61" style="1" customWidth="1"/>
    <col min="9813" max="9817" width="12" style="1" customWidth="1"/>
    <col min="9818" max="9819" width="6.59765625" style="1" customWidth="1"/>
    <col min="9820" max="9820" width="9.296875" style="1" customWidth="1"/>
    <col min="9821" max="9821" width="32.19921875" style="1" customWidth="1"/>
    <col min="9822" max="10066" width="9" style="1"/>
    <col min="10067" max="10067" width="1.19921875" style="1" customWidth="1"/>
    <col min="10068" max="10068" width="61" style="1" customWidth="1"/>
    <col min="10069" max="10073" width="12" style="1" customWidth="1"/>
    <col min="10074" max="10075" width="6.59765625" style="1" customWidth="1"/>
    <col min="10076" max="10076" width="9.296875" style="1" customWidth="1"/>
    <col min="10077" max="10077" width="32.19921875" style="1" customWidth="1"/>
    <col min="10078" max="10322" width="9" style="1"/>
    <col min="10323" max="10323" width="1.19921875" style="1" customWidth="1"/>
    <col min="10324" max="10324" width="61" style="1" customWidth="1"/>
    <col min="10325" max="10329" width="12" style="1" customWidth="1"/>
    <col min="10330" max="10331" width="6.59765625" style="1" customWidth="1"/>
    <col min="10332" max="10332" width="9.296875" style="1" customWidth="1"/>
    <col min="10333" max="10333" width="32.19921875" style="1" customWidth="1"/>
    <col min="10334" max="10578" width="9" style="1"/>
    <col min="10579" max="10579" width="1.19921875" style="1" customWidth="1"/>
    <col min="10580" max="10580" width="61" style="1" customWidth="1"/>
    <col min="10581" max="10585" width="12" style="1" customWidth="1"/>
    <col min="10586" max="10587" width="6.59765625" style="1" customWidth="1"/>
    <col min="10588" max="10588" width="9.296875" style="1" customWidth="1"/>
    <col min="10589" max="10589" width="32.19921875" style="1" customWidth="1"/>
    <col min="10590" max="10834" width="9" style="1"/>
    <col min="10835" max="10835" width="1.19921875" style="1" customWidth="1"/>
    <col min="10836" max="10836" width="61" style="1" customWidth="1"/>
    <col min="10837" max="10841" width="12" style="1" customWidth="1"/>
    <col min="10842" max="10843" width="6.59765625" style="1" customWidth="1"/>
    <col min="10844" max="10844" width="9.296875" style="1" customWidth="1"/>
    <col min="10845" max="10845" width="32.19921875" style="1" customWidth="1"/>
    <col min="10846" max="11090" width="9" style="1"/>
    <col min="11091" max="11091" width="1.19921875" style="1" customWidth="1"/>
    <col min="11092" max="11092" width="61" style="1" customWidth="1"/>
    <col min="11093" max="11097" width="12" style="1" customWidth="1"/>
    <col min="11098" max="11099" width="6.59765625" style="1" customWidth="1"/>
    <col min="11100" max="11100" width="9.296875" style="1" customWidth="1"/>
    <col min="11101" max="11101" width="32.19921875" style="1" customWidth="1"/>
    <col min="11102" max="11346" width="9" style="1"/>
    <col min="11347" max="11347" width="1.19921875" style="1" customWidth="1"/>
    <col min="11348" max="11348" width="61" style="1" customWidth="1"/>
    <col min="11349" max="11353" width="12" style="1" customWidth="1"/>
    <col min="11354" max="11355" width="6.59765625" style="1" customWidth="1"/>
    <col min="11356" max="11356" width="9.296875" style="1" customWidth="1"/>
    <col min="11357" max="11357" width="32.19921875" style="1" customWidth="1"/>
    <col min="11358" max="11602" width="9" style="1"/>
    <col min="11603" max="11603" width="1.19921875" style="1" customWidth="1"/>
    <col min="11604" max="11604" width="61" style="1" customWidth="1"/>
    <col min="11605" max="11609" width="12" style="1" customWidth="1"/>
    <col min="11610" max="11611" width="6.59765625" style="1" customWidth="1"/>
    <col min="11612" max="11612" width="9.296875" style="1" customWidth="1"/>
    <col min="11613" max="11613" width="32.19921875" style="1" customWidth="1"/>
    <col min="11614" max="11858" width="9" style="1"/>
    <col min="11859" max="11859" width="1.19921875" style="1" customWidth="1"/>
    <col min="11860" max="11860" width="61" style="1" customWidth="1"/>
    <col min="11861" max="11865" width="12" style="1" customWidth="1"/>
    <col min="11866" max="11867" width="6.59765625" style="1" customWidth="1"/>
    <col min="11868" max="11868" width="9.296875" style="1" customWidth="1"/>
    <col min="11869" max="11869" width="32.19921875" style="1" customWidth="1"/>
    <col min="11870" max="12114" width="9" style="1"/>
    <col min="12115" max="12115" width="1.19921875" style="1" customWidth="1"/>
    <col min="12116" max="12116" width="61" style="1" customWidth="1"/>
    <col min="12117" max="12121" width="12" style="1" customWidth="1"/>
    <col min="12122" max="12123" width="6.59765625" style="1" customWidth="1"/>
    <col min="12124" max="12124" width="9.296875" style="1" customWidth="1"/>
    <col min="12125" max="12125" width="32.19921875" style="1" customWidth="1"/>
    <col min="12126" max="12370" width="9" style="1"/>
    <col min="12371" max="12371" width="1.19921875" style="1" customWidth="1"/>
    <col min="12372" max="12372" width="61" style="1" customWidth="1"/>
    <col min="12373" max="12377" width="12" style="1" customWidth="1"/>
    <col min="12378" max="12379" width="6.59765625" style="1" customWidth="1"/>
    <col min="12380" max="12380" width="9.296875" style="1" customWidth="1"/>
    <col min="12381" max="12381" width="32.19921875" style="1" customWidth="1"/>
    <col min="12382" max="12626" width="9" style="1"/>
    <col min="12627" max="12627" width="1.19921875" style="1" customWidth="1"/>
    <col min="12628" max="12628" width="61" style="1" customWidth="1"/>
    <col min="12629" max="12633" width="12" style="1" customWidth="1"/>
    <col min="12634" max="12635" width="6.59765625" style="1" customWidth="1"/>
    <col min="12636" max="12636" width="9.296875" style="1" customWidth="1"/>
    <col min="12637" max="12637" width="32.19921875" style="1" customWidth="1"/>
    <col min="12638" max="12882" width="9" style="1"/>
    <col min="12883" max="12883" width="1.19921875" style="1" customWidth="1"/>
    <col min="12884" max="12884" width="61" style="1" customWidth="1"/>
    <col min="12885" max="12889" width="12" style="1" customWidth="1"/>
    <col min="12890" max="12891" width="6.59765625" style="1" customWidth="1"/>
    <col min="12892" max="12892" width="9.296875" style="1" customWidth="1"/>
    <col min="12893" max="12893" width="32.19921875" style="1" customWidth="1"/>
    <col min="12894" max="13138" width="9" style="1"/>
    <col min="13139" max="13139" width="1.19921875" style="1" customWidth="1"/>
    <col min="13140" max="13140" width="61" style="1" customWidth="1"/>
    <col min="13141" max="13145" width="12" style="1" customWidth="1"/>
    <col min="13146" max="13147" width="6.59765625" style="1" customWidth="1"/>
    <col min="13148" max="13148" width="9.296875" style="1" customWidth="1"/>
    <col min="13149" max="13149" width="32.19921875" style="1" customWidth="1"/>
    <col min="13150" max="13394" width="9" style="1"/>
    <col min="13395" max="13395" width="1.19921875" style="1" customWidth="1"/>
    <col min="13396" max="13396" width="61" style="1" customWidth="1"/>
    <col min="13397" max="13401" width="12" style="1" customWidth="1"/>
    <col min="13402" max="13403" width="6.59765625" style="1" customWidth="1"/>
    <col min="13404" max="13404" width="9.296875" style="1" customWidth="1"/>
    <col min="13405" max="13405" width="32.19921875" style="1" customWidth="1"/>
    <col min="13406" max="13650" width="9" style="1"/>
    <col min="13651" max="13651" width="1.19921875" style="1" customWidth="1"/>
    <col min="13652" max="13652" width="61" style="1" customWidth="1"/>
    <col min="13653" max="13657" width="12" style="1" customWidth="1"/>
    <col min="13658" max="13659" width="6.59765625" style="1" customWidth="1"/>
    <col min="13660" max="13660" width="9.296875" style="1" customWidth="1"/>
    <col min="13661" max="13661" width="32.19921875" style="1" customWidth="1"/>
    <col min="13662" max="13906" width="9" style="1"/>
    <col min="13907" max="13907" width="1.19921875" style="1" customWidth="1"/>
    <col min="13908" max="13908" width="61" style="1" customWidth="1"/>
    <col min="13909" max="13913" width="12" style="1" customWidth="1"/>
    <col min="13914" max="13915" width="6.59765625" style="1" customWidth="1"/>
    <col min="13916" max="13916" width="9.296875" style="1" customWidth="1"/>
    <col min="13917" max="13917" width="32.19921875" style="1" customWidth="1"/>
    <col min="13918" max="14162" width="9" style="1"/>
    <col min="14163" max="14163" width="1.19921875" style="1" customWidth="1"/>
    <col min="14164" max="14164" width="61" style="1" customWidth="1"/>
    <col min="14165" max="14169" width="12" style="1" customWidth="1"/>
    <col min="14170" max="14171" width="6.59765625" style="1" customWidth="1"/>
    <col min="14172" max="14172" width="9.296875" style="1" customWidth="1"/>
    <col min="14173" max="14173" width="32.19921875" style="1" customWidth="1"/>
    <col min="14174" max="14418" width="9" style="1"/>
    <col min="14419" max="14419" width="1.19921875" style="1" customWidth="1"/>
    <col min="14420" max="14420" width="61" style="1" customWidth="1"/>
    <col min="14421" max="14425" width="12" style="1" customWidth="1"/>
    <col min="14426" max="14427" width="6.59765625" style="1" customWidth="1"/>
    <col min="14428" max="14428" width="9.296875" style="1" customWidth="1"/>
    <col min="14429" max="14429" width="32.19921875" style="1" customWidth="1"/>
    <col min="14430" max="14674" width="9" style="1"/>
    <col min="14675" max="14675" width="1.19921875" style="1" customWidth="1"/>
    <col min="14676" max="14676" width="61" style="1" customWidth="1"/>
    <col min="14677" max="14681" width="12" style="1" customWidth="1"/>
    <col min="14682" max="14683" width="6.59765625" style="1" customWidth="1"/>
    <col min="14684" max="14684" width="9.296875" style="1" customWidth="1"/>
    <col min="14685" max="14685" width="32.19921875" style="1" customWidth="1"/>
    <col min="14686" max="14930" width="9" style="1"/>
    <col min="14931" max="14931" width="1.19921875" style="1" customWidth="1"/>
    <col min="14932" max="14932" width="61" style="1" customWidth="1"/>
    <col min="14933" max="14937" width="12" style="1" customWidth="1"/>
    <col min="14938" max="14939" width="6.59765625" style="1" customWidth="1"/>
    <col min="14940" max="14940" width="9.296875" style="1" customWidth="1"/>
    <col min="14941" max="14941" width="32.19921875" style="1" customWidth="1"/>
    <col min="14942" max="15186" width="9" style="1"/>
    <col min="15187" max="15187" width="1.19921875" style="1" customWidth="1"/>
    <col min="15188" max="15188" width="61" style="1" customWidth="1"/>
    <col min="15189" max="15193" width="12" style="1" customWidth="1"/>
    <col min="15194" max="15195" width="6.59765625" style="1" customWidth="1"/>
    <col min="15196" max="15196" width="9.296875" style="1" customWidth="1"/>
    <col min="15197" max="15197" width="32.19921875" style="1" customWidth="1"/>
    <col min="15198" max="15442" width="9" style="1"/>
    <col min="15443" max="15443" width="1.19921875" style="1" customWidth="1"/>
    <col min="15444" max="15444" width="61" style="1" customWidth="1"/>
    <col min="15445" max="15449" width="12" style="1" customWidth="1"/>
    <col min="15450" max="15451" width="6.59765625" style="1" customWidth="1"/>
    <col min="15452" max="15452" width="9.296875" style="1" customWidth="1"/>
    <col min="15453" max="15453" width="32.19921875" style="1" customWidth="1"/>
    <col min="15454" max="15698" width="9" style="1"/>
    <col min="15699" max="15699" width="1.19921875" style="1" customWidth="1"/>
    <col min="15700" max="15700" width="61" style="1" customWidth="1"/>
    <col min="15701" max="15705" width="12" style="1" customWidth="1"/>
    <col min="15706" max="15707" width="6.59765625" style="1" customWidth="1"/>
    <col min="15708" max="15708" width="9.296875" style="1" customWidth="1"/>
    <col min="15709" max="15709" width="32.19921875" style="1" customWidth="1"/>
    <col min="15710" max="15954" width="9" style="1"/>
    <col min="15955" max="15955" width="1.19921875" style="1" customWidth="1"/>
    <col min="15956" max="15956" width="61" style="1" customWidth="1"/>
    <col min="15957" max="15961" width="12" style="1" customWidth="1"/>
    <col min="15962" max="15963" width="6.59765625" style="1" customWidth="1"/>
    <col min="15964" max="15964" width="9.296875" style="1" customWidth="1"/>
    <col min="15965" max="15965" width="32.19921875" style="1" customWidth="1"/>
    <col min="15966" max="16384" width="9" style="1"/>
  </cols>
  <sheetData>
    <row r="1" spans="1:33" ht="13.8" x14ac:dyDescent="0.25">
      <c r="A1" s="11" t="s">
        <v>19</v>
      </c>
      <c r="B1" s="71"/>
      <c r="C1" s="61"/>
    </row>
    <row r="3" spans="1:33" ht="38.25" customHeight="1" x14ac:dyDescent="0.25">
      <c r="A3" s="679" t="s">
        <v>841</v>
      </c>
      <c r="B3" s="679"/>
      <c r="C3" s="679"/>
      <c r="D3" s="679"/>
      <c r="E3" s="679"/>
    </row>
    <row r="4" spans="1:33" ht="13.8" x14ac:dyDescent="0.25">
      <c r="A4" s="11"/>
      <c r="B4" s="11"/>
    </row>
    <row r="5" spans="1:33" ht="93" customHeight="1" x14ac:dyDescent="0.25">
      <c r="A5" s="673" t="s">
        <v>842</v>
      </c>
      <c r="B5" s="673"/>
      <c r="C5" s="673"/>
      <c r="D5" s="673"/>
      <c r="E5" s="673"/>
    </row>
    <row r="6" spans="1:33" ht="39" customHeight="1" x14ac:dyDescent="0.25">
      <c r="A6" s="673" t="s">
        <v>188</v>
      </c>
      <c r="B6" s="673"/>
      <c r="C6" s="673"/>
      <c r="D6" s="673"/>
      <c r="E6" s="673"/>
      <c r="F6" s="673"/>
      <c r="G6" s="673"/>
    </row>
    <row r="7" spans="1:33" ht="39" customHeight="1" x14ac:dyDescent="0.25">
      <c r="A7" s="673" t="s">
        <v>189</v>
      </c>
      <c r="B7" s="673"/>
      <c r="C7" s="673"/>
      <c r="D7" s="673"/>
      <c r="E7" s="673"/>
      <c r="F7" s="673"/>
      <c r="G7" s="673"/>
    </row>
    <row r="8" spans="1:33" ht="190.5" customHeight="1" x14ac:dyDescent="0.25">
      <c r="A8" s="673" t="s">
        <v>112</v>
      </c>
      <c r="B8" s="673"/>
      <c r="C8" s="673"/>
      <c r="D8" s="673"/>
      <c r="E8" s="673"/>
      <c r="F8" s="673"/>
      <c r="G8" s="673"/>
    </row>
    <row r="9" spans="1:33" ht="14.4" thickBot="1" x14ac:dyDescent="0.3">
      <c r="A9" s="83"/>
      <c r="B9" s="99"/>
      <c r="C9" s="83"/>
      <c r="D9" s="83"/>
      <c r="E9" s="83"/>
      <c r="F9" s="83"/>
    </row>
    <row r="10" spans="1:33" ht="60.75" customHeight="1" thickBot="1" x14ac:dyDescent="0.3">
      <c r="A10" s="98"/>
      <c r="B10" s="127" t="s">
        <v>186</v>
      </c>
      <c r="C10" s="119" t="s">
        <v>96</v>
      </c>
      <c r="D10" s="119" t="s">
        <v>97</v>
      </c>
      <c r="E10" s="119" t="s">
        <v>113</v>
      </c>
      <c r="F10" s="119" t="s">
        <v>114</v>
      </c>
    </row>
    <row r="11" spans="1:33" ht="13.8" x14ac:dyDescent="0.25">
      <c r="A11" s="352"/>
      <c r="B11" s="3"/>
      <c r="C11" s="103"/>
      <c r="D11" s="104"/>
      <c r="E11" s="104"/>
      <c r="F11" s="104"/>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6" x14ac:dyDescent="0.25">
      <c r="A12" s="8" t="s">
        <v>98</v>
      </c>
      <c r="B12" s="108" t="s">
        <v>905</v>
      </c>
      <c r="C12" s="108"/>
      <c r="D12" s="106"/>
      <c r="E12" s="90"/>
      <c r="F12" s="90"/>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3.8" x14ac:dyDescent="0.25">
      <c r="A13" s="352"/>
      <c r="B13" s="3"/>
      <c r="C13" s="103"/>
      <c r="D13" s="104"/>
      <c r="E13" s="540"/>
      <c r="F13" s="540"/>
      <c r="H13" s="54"/>
      <c r="J13" s="54"/>
      <c r="K13" s="13"/>
      <c r="L13" s="13"/>
      <c r="M13" s="13"/>
      <c r="N13" s="13"/>
      <c r="O13" s="13"/>
      <c r="P13" s="13"/>
      <c r="Q13" s="13"/>
      <c r="R13" s="13"/>
      <c r="S13" s="13"/>
      <c r="T13" s="13"/>
      <c r="U13" s="13"/>
      <c r="V13" s="13"/>
      <c r="W13" s="13"/>
      <c r="X13" s="13"/>
      <c r="Y13" s="13"/>
      <c r="Z13" s="13"/>
      <c r="AA13" s="13"/>
      <c r="AB13" s="13"/>
      <c r="AC13" s="13"/>
      <c r="AD13" s="13"/>
      <c r="AE13" s="13"/>
      <c r="AF13" s="13"/>
      <c r="AG13" s="13"/>
    </row>
    <row r="14" spans="1:33" ht="15.6" x14ac:dyDescent="0.25">
      <c r="A14" s="8" t="s">
        <v>115</v>
      </c>
      <c r="B14" s="511" t="s">
        <v>906</v>
      </c>
      <c r="C14" s="108"/>
      <c r="D14" s="106"/>
      <c r="E14" s="90"/>
      <c r="F14" s="90"/>
      <c r="H14" s="54"/>
    </row>
    <row r="15" spans="1:33" x14ac:dyDescent="0.25">
      <c r="A15" s="352"/>
      <c r="B15" s="91"/>
      <c r="C15" s="109"/>
      <c r="D15" s="107"/>
      <c r="E15" s="107"/>
      <c r="F15" s="107"/>
      <c r="H15" s="54"/>
    </row>
    <row r="16" spans="1:33" x14ac:dyDescent="0.25">
      <c r="A16" s="8" t="s">
        <v>116</v>
      </c>
      <c r="C16" s="208"/>
      <c r="D16" s="106"/>
      <c r="E16" s="106"/>
      <c r="F16" s="106"/>
      <c r="H16" s="54"/>
    </row>
    <row r="17" spans="1:19" ht="13.8" x14ac:dyDescent="0.25">
      <c r="A17" s="67" t="s">
        <v>960</v>
      </c>
      <c r="B17" s="522" t="s">
        <v>907</v>
      </c>
      <c r="C17" s="108"/>
      <c r="D17" s="106"/>
      <c r="E17" s="106"/>
      <c r="F17" s="106"/>
      <c r="G17" s="13"/>
      <c r="H17" s="54"/>
      <c r="I17" s="54"/>
      <c r="J17" s="54"/>
    </row>
    <row r="18" spans="1:19" ht="15" customHeight="1" x14ac:dyDescent="0.25">
      <c r="A18" s="69" t="s">
        <v>961</v>
      </c>
      <c r="B18" s="215"/>
      <c r="C18" s="215"/>
      <c r="D18" s="107"/>
      <c r="E18" s="107"/>
      <c r="F18" s="107"/>
      <c r="G18" s="13"/>
      <c r="H18" s="54"/>
      <c r="I18" s="54"/>
      <c r="J18" s="54"/>
    </row>
    <row r="19" spans="1:19" ht="15" customHeight="1" x14ac:dyDescent="0.25">
      <c r="A19" s="69" t="s">
        <v>962</v>
      </c>
      <c r="B19" s="215"/>
      <c r="C19" s="215"/>
      <c r="D19" s="107"/>
      <c r="E19" s="107"/>
      <c r="F19" s="107"/>
      <c r="G19" s="13"/>
      <c r="H19" s="54"/>
      <c r="I19" s="54"/>
      <c r="J19" s="54"/>
    </row>
    <row r="20" spans="1:19" ht="15" customHeight="1" x14ac:dyDescent="0.25">
      <c r="A20" s="69" t="s">
        <v>963</v>
      </c>
      <c r="B20" s="215"/>
      <c r="C20" s="215"/>
      <c r="D20" s="523"/>
      <c r="E20" s="107"/>
      <c r="F20" s="107"/>
      <c r="G20" s="13"/>
      <c r="H20" s="54"/>
      <c r="I20" s="54"/>
      <c r="J20" s="54"/>
    </row>
    <row r="21" spans="1:19" ht="15" customHeight="1" x14ac:dyDescent="0.25">
      <c r="A21" s="69" t="s">
        <v>964</v>
      </c>
      <c r="B21" s="89"/>
      <c r="C21" s="215"/>
      <c r="D21" s="89"/>
      <c r="E21" s="89"/>
      <c r="F21" s="89"/>
      <c r="H21" s="54"/>
      <c r="I21" s="54"/>
      <c r="J21" s="54"/>
      <c r="L21" s="60"/>
      <c r="N21" s="38"/>
      <c r="P21" s="38"/>
      <c r="R21" s="68"/>
      <c r="S21" s="38"/>
    </row>
    <row r="22" spans="1:19" ht="13.8" x14ac:dyDescent="0.25">
      <c r="A22" s="69"/>
      <c r="B22" s="215"/>
      <c r="C22" s="215"/>
      <c r="D22" s="107"/>
      <c r="E22" s="107"/>
      <c r="F22" s="107"/>
      <c r="G22" s="13"/>
      <c r="H22" s="54"/>
      <c r="I22" s="54"/>
      <c r="J22" s="54"/>
    </row>
    <row r="23" spans="1:19" ht="13.8" x14ac:dyDescent="0.25">
      <c r="A23" s="67" t="s">
        <v>965</v>
      </c>
      <c r="B23" s="108" t="s">
        <v>908</v>
      </c>
      <c r="C23" s="108"/>
      <c r="D23" s="106"/>
      <c r="E23" s="106"/>
      <c r="F23" s="106"/>
      <c r="G23" s="13"/>
      <c r="H23" s="54"/>
      <c r="I23" s="54"/>
      <c r="J23" s="54"/>
    </row>
    <row r="24" spans="1:19" ht="15" customHeight="1" x14ac:dyDescent="0.25">
      <c r="A24" s="69" t="s">
        <v>966</v>
      </c>
      <c r="B24" s="215"/>
      <c r="C24" s="215"/>
      <c r="D24" s="107"/>
      <c r="E24" s="107"/>
      <c r="F24" s="107"/>
      <c r="G24" s="54"/>
      <c r="I24" s="54"/>
      <c r="J24" s="54"/>
    </row>
    <row r="25" spans="1:19" ht="15" customHeight="1" x14ac:dyDescent="0.25">
      <c r="A25" s="69" t="s">
        <v>967</v>
      </c>
      <c r="B25" s="215"/>
      <c r="C25" s="215"/>
      <c r="D25" s="107"/>
      <c r="E25" s="107"/>
      <c r="F25" s="107"/>
      <c r="G25" s="54"/>
      <c r="I25" s="54"/>
      <c r="J25" s="54"/>
    </row>
    <row r="26" spans="1:19" ht="15" customHeight="1" x14ac:dyDescent="0.25">
      <c r="A26" s="69" t="s">
        <v>968</v>
      </c>
      <c r="B26" s="215"/>
      <c r="C26" s="215"/>
      <c r="D26" s="107"/>
      <c r="E26" s="107"/>
      <c r="F26" s="107"/>
      <c r="G26" s="54"/>
      <c r="I26" s="54"/>
      <c r="J26" s="54"/>
    </row>
    <row r="27" spans="1:19" ht="15" customHeight="1" x14ac:dyDescent="0.25">
      <c r="A27" s="69" t="s">
        <v>969</v>
      </c>
      <c r="B27" s="215"/>
      <c r="C27" s="215"/>
      <c r="D27" s="107"/>
      <c r="E27" s="107"/>
      <c r="F27" s="107"/>
      <c r="G27" s="13"/>
      <c r="H27" s="54"/>
      <c r="I27" s="54"/>
      <c r="J27" s="54"/>
    </row>
    <row r="28" spans="1:19" ht="14.25" customHeight="1" x14ac:dyDescent="0.25">
      <c r="A28" s="69"/>
      <c r="B28" s="215"/>
      <c r="C28" s="215"/>
      <c r="D28" s="107"/>
      <c r="E28" s="107"/>
      <c r="F28" s="107"/>
      <c r="G28" s="13"/>
      <c r="H28" s="54"/>
      <c r="I28" s="54"/>
      <c r="J28" s="54"/>
    </row>
    <row r="29" spans="1:19" ht="16.5" customHeight="1" x14ac:dyDescent="0.25">
      <c r="A29" s="67" t="s">
        <v>970</v>
      </c>
      <c r="B29" s="108" t="s">
        <v>909</v>
      </c>
      <c r="C29" s="108"/>
      <c r="D29" s="106"/>
      <c r="E29" s="106"/>
      <c r="F29" s="106"/>
      <c r="G29" s="13"/>
      <c r="H29" s="54"/>
      <c r="I29" s="54"/>
      <c r="J29" s="54"/>
    </row>
    <row r="30" spans="1:19" ht="15" customHeight="1" x14ac:dyDescent="0.25">
      <c r="A30" s="69" t="s">
        <v>971</v>
      </c>
      <c r="B30" s="215"/>
      <c r="C30" s="215"/>
      <c r="D30" s="107"/>
      <c r="E30" s="107"/>
      <c r="F30" s="107"/>
      <c r="G30" s="13"/>
      <c r="H30" s="54"/>
      <c r="I30" s="54"/>
      <c r="J30" s="54"/>
      <c r="M30" s="74"/>
    </row>
    <row r="31" spans="1:19" ht="15" customHeight="1" x14ac:dyDescent="0.25">
      <c r="A31" s="69" t="s">
        <v>972</v>
      </c>
      <c r="B31" s="215"/>
      <c r="C31" s="215"/>
      <c r="D31" s="107"/>
      <c r="E31" s="107"/>
      <c r="F31" s="107"/>
      <c r="G31" s="13"/>
      <c r="H31" s="54"/>
      <c r="I31" s="54"/>
      <c r="J31" s="54"/>
      <c r="M31" s="74"/>
    </row>
    <row r="32" spans="1:19" ht="15" customHeight="1" x14ac:dyDescent="0.25">
      <c r="A32" s="69" t="s">
        <v>973</v>
      </c>
      <c r="B32" s="215"/>
      <c r="C32" s="215"/>
      <c r="D32" s="107"/>
      <c r="E32" s="107"/>
      <c r="F32" s="107"/>
      <c r="G32" s="13"/>
      <c r="H32" s="54"/>
      <c r="I32" s="54"/>
      <c r="J32" s="54"/>
      <c r="M32" s="74"/>
    </row>
    <row r="33" spans="1:16" ht="15" customHeight="1" x14ac:dyDescent="0.25">
      <c r="A33" s="69" t="s">
        <v>974</v>
      </c>
      <c r="B33" s="215"/>
      <c r="C33" s="215"/>
      <c r="D33" s="523"/>
      <c r="E33" s="107"/>
      <c r="F33" s="107"/>
      <c r="G33" s="13"/>
      <c r="H33" s="54"/>
      <c r="I33" s="54"/>
      <c r="J33" s="54"/>
      <c r="M33" s="74"/>
    </row>
    <row r="34" spans="1:16" ht="13.8" x14ac:dyDescent="0.25">
      <c r="A34" s="69"/>
      <c r="B34" s="215"/>
      <c r="C34" s="215"/>
      <c r="D34" s="107"/>
      <c r="E34" s="107"/>
      <c r="F34" s="107"/>
      <c r="G34" s="13"/>
      <c r="H34" s="54"/>
      <c r="I34" s="54"/>
      <c r="J34" s="54"/>
    </row>
    <row r="35" spans="1:16" ht="13.8" x14ac:dyDescent="0.25">
      <c r="A35" s="67" t="s">
        <v>975</v>
      </c>
      <c r="B35" s="108" t="s">
        <v>910</v>
      </c>
      <c r="C35" s="108"/>
      <c r="D35" s="106"/>
      <c r="E35" s="106"/>
      <c r="F35" s="106"/>
      <c r="G35" s="13"/>
      <c r="H35" s="54"/>
      <c r="I35" s="54"/>
      <c r="J35" s="54"/>
    </row>
    <row r="36" spans="1:16" ht="15" customHeight="1" x14ac:dyDescent="0.25">
      <c r="A36" s="69" t="s">
        <v>976</v>
      </c>
      <c r="B36" s="215"/>
      <c r="C36" s="524"/>
      <c r="D36" s="525"/>
      <c r="E36" s="107"/>
      <c r="F36" s="107"/>
      <c r="G36" s="76"/>
      <c r="H36" s="54"/>
      <c r="I36" s="54"/>
      <c r="J36" s="54"/>
      <c r="K36" s="74"/>
      <c r="L36" s="74"/>
      <c r="M36" s="74"/>
    </row>
    <row r="37" spans="1:16" ht="15" customHeight="1" x14ac:dyDescent="0.25">
      <c r="A37" s="69" t="s">
        <v>977</v>
      </c>
      <c r="B37" s="215"/>
      <c r="C37" s="524"/>
      <c r="D37" s="525"/>
      <c r="E37" s="107"/>
      <c r="F37" s="107"/>
      <c r="G37" s="76"/>
      <c r="H37" s="54"/>
      <c r="I37" s="54"/>
      <c r="J37" s="54"/>
      <c r="K37" s="74"/>
      <c r="L37" s="74"/>
      <c r="M37" s="74"/>
    </row>
    <row r="38" spans="1:16" ht="15" customHeight="1" x14ac:dyDescent="0.25">
      <c r="A38" s="69" t="s">
        <v>978</v>
      </c>
      <c r="B38" s="215"/>
      <c r="C38" s="215"/>
      <c r="D38" s="107"/>
      <c r="E38" s="107"/>
      <c r="F38" s="107"/>
      <c r="G38" s="13"/>
      <c r="H38" s="54"/>
      <c r="I38" s="54"/>
      <c r="J38" s="54"/>
    </row>
    <row r="39" spans="1:16" ht="13.8" x14ac:dyDescent="0.25">
      <c r="A39" s="69"/>
      <c r="B39" s="215"/>
      <c r="C39" s="215"/>
      <c r="D39" s="107"/>
      <c r="E39" s="107"/>
      <c r="F39" s="107"/>
      <c r="G39" s="13"/>
      <c r="H39" s="54"/>
      <c r="I39" s="54"/>
      <c r="J39" s="54"/>
    </row>
    <row r="40" spans="1:16" ht="13.8" x14ac:dyDescent="0.25">
      <c r="A40" s="67" t="s">
        <v>979</v>
      </c>
      <c r="B40" s="108" t="s">
        <v>958</v>
      </c>
      <c r="C40" s="108"/>
      <c r="D40" s="106"/>
      <c r="E40" s="106"/>
      <c r="F40" s="106"/>
      <c r="G40" s="13"/>
      <c r="H40" s="54"/>
      <c r="I40" s="54"/>
      <c r="J40" s="54"/>
    </row>
    <row r="41" spans="1:16" ht="15" customHeight="1" x14ac:dyDescent="0.25">
      <c r="A41" s="69" t="s">
        <v>980</v>
      </c>
      <c r="B41" s="215"/>
      <c r="C41" s="215"/>
      <c r="D41" s="107"/>
      <c r="E41" s="107"/>
      <c r="F41" s="107"/>
      <c r="G41" s="13"/>
      <c r="H41" s="54"/>
    </row>
    <row r="42" spans="1:16" ht="15" customHeight="1" x14ac:dyDescent="0.25">
      <c r="A42" s="69" t="s">
        <v>981</v>
      </c>
      <c r="B42" s="215"/>
      <c r="C42" s="215"/>
      <c r="D42" s="107"/>
      <c r="E42" s="107"/>
      <c r="F42" s="107"/>
      <c r="H42" s="54"/>
      <c r="L42" s="74"/>
      <c r="M42" s="74"/>
    </row>
    <row r="43" spans="1:16" s="39" customFormat="1" ht="15" customHeight="1" x14ac:dyDescent="0.25">
      <c r="A43" s="135" t="s">
        <v>982</v>
      </c>
      <c r="B43" s="89"/>
      <c r="C43" s="103"/>
      <c r="D43" s="540"/>
      <c r="E43" s="647"/>
      <c r="F43" s="647"/>
      <c r="H43" s="54"/>
      <c r="I43" s="136"/>
      <c r="J43" s="137"/>
      <c r="M43" s="47"/>
      <c r="N43" s="47"/>
      <c r="O43" s="138"/>
      <c r="P43" s="139"/>
    </row>
    <row r="44" spans="1:16" ht="13.8" thickBot="1" x14ac:dyDescent="0.3">
      <c r="A44" s="82"/>
      <c r="B44" s="100"/>
      <c r="C44" s="101"/>
      <c r="D44" s="83"/>
      <c r="E44" s="83"/>
      <c r="F44" s="83"/>
    </row>
    <row r="45" spans="1:16" x14ac:dyDescent="0.25">
      <c r="A45" s="18"/>
      <c r="B45" s="352"/>
    </row>
    <row r="46" spans="1:16" x14ac:dyDescent="0.25">
      <c r="A46" s="673" t="s">
        <v>826</v>
      </c>
      <c r="B46" s="673"/>
      <c r="C46" s="673"/>
      <c r="D46" s="673"/>
      <c r="E46" s="673"/>
      <c r="H46" s="54"/>
    </row>
    <row r="47" spans="1:16" x14ac:dyDescent="0.25">
      <c r="A47" s="351"/>
      <c r="B47" s="351"/>
      <c r="C47" s="351"/>
      <c r="D47" s="351"/>
      <c r="H47" s="54"/>
    </row>
    <row r="48" spans="1:16" ht="79.5" customHeight="1" x14ac:dyDescent="0.25">
      <c r="A48" s="677" t="s">
        <v>190</v>
      </c>
      <c r="B48" s="677"/>
      <c r="C48" s="677"/>
      <c r="D48" s="677"/>
      <c r="E48" s="677"/>
      <c r="F48" s="677"/>
      <c r="G48" s="677"/>
    </row>
    <row r="49" spans="1:12" x14ac:dyDescent="0.25">
      <c r="A49" s="375" t="s">
        <v>141</v>
      </c>
      <c r="B49" s="351"/>
      <c r="C49" s="351"/>
      <c r="D49" s="351"/>
      <c r="E49" s="351"/>
      <c r="F49" s="351"/>
      <c r="G49" s="351"/>
    </row>
    <row r="50" spans="1:12" x14ac:dyDescent="0.25">
      <c r="A50" s="375"/>
      <c r="B50" s="351"/>
      <c r="C50" s="351"/>
      <c r="D50" s="351"/>
      <c r="E50" s="351"/>
      <c r="F50" s="351"/>
      <c r="G50" s="351"/>
    </row>
    <row r="51" spans="1:12" ht="28.2" customHeight="1" x14ac:dyDescent="0.25">
      <c r="A51" s="674" t="s">
        <v>93</v>
      </c>
      <c r="B51" s="674"/>
      <c r="C51" s="674"/>
      <c r="D51" s="674"/>
      <c r="E51" s="674"/>
      <c r="F51" s="674"/>
      <c r="G51" s="674"/>
      <c r="H51" s="72"/>
      <c r="I51" s="72"/>
      <c r="J51" s="72"/>
      <c r="K51" s="72"/>
    </row>
    <row r="52" spans="1:12" ht="25.5" customHeight="1" x14ac:dyDescent="0.25">
      <c r="A52" s="697" t="s">
        <v>94</v>
      </c>
      <c r="B52" s="697"/>
      <c r="C52" s="697"/>
      <c r="D52" s="697"/>
      <c r="E52" s="697"/>
      <c r="F52" s="697"/>
      <c r="G52" s="697"/>
      <c r="H52" s="105"/>
      <c r="I52" s="105"/>
      <c r="J52" s="105"/>
      <c r="K52" s="105"/>
      <c r="L52" s="105"/>
    </row>
    <row r="53" spans="1:12" x14ac:dyDescent="0.25">
      <c r="A53" s="19"/>
      <c r="B53" s="19"/>
    </row>
  </sheetData>
  <mergeCells count="9">
    <mergeCell ref="A52:G52"/>
    <mergeCell ref="A51:G51"/>
    <mergeCell ref="A48:G48"/>
    <mergeCell ref="A5:E5"/>
    <mergeCell ref="A3:E3"/>
    <mergeCell ref="A46:E46"/>
    <mergeCell ref="A8:G8"/>
    <mergeCell ref="A7:G7"/>
    <mergeCell ref="A6:G6"/>
  </mergeCells>
  <hyperlinks>
    <hyperlink ref="A49" r:id="rId1"/>
  </hyperlinks>
  <pageMargins left="0.7" right="0.7" top="0.75" bottom="0.75" header="0.3" footer="0.3"/>
  <pageSetup paperSize="9" scale="55" orientation="portrait" r:id="rId2"/>
  <rowBreaks count="1" manualBreakCount="1">
    <brk id="52" max="11" man="1"/>
  </rowBreaks>
  <drawing r:id="rId3"/>
  <legacy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33"/>
  <sheetViews>
    <sheetView showGridLines="0" workbookViewId="0"/>
  </sheetViews>
  <sheetFormatPr defaultRowHeight="13.2" x14ac:dyDescent="0.25"/>
  <cols>
    <col min="1" max="1" width="53.69921875" style="1" customWidth="1"/>
    <col min="2" max="2" width="7.5" style="1" customWidth="1"/>
    <col min="3" max="10" width="9" style="1" customWidth="1"/>
    <col min="11" max="11" width="5.09765625" style="1" customWidth="1"/>
    <col min="12" max="12" width="7.5" style="1" customWidth="1"/>
    <col min="13" max="13" width="9.796875" style="1" customWidth="1"/>
    <col min="14" max="19" width="9" style="1"/>
    <col min="20" max="20" width="8.59765625" style="1"/>
    <col min="21" max="21" width="5" style="1" customWidth="1"/>
    <col min="22" max="22" width="7.5" style="1" customWidth="1"/>
    <col min="23" max="29" width="9" style="1"/>
    <col min="30" max="30" width="8.59765625" style="1"/>
    <col min="31" max="96" width="9" style="1"/>
    <col min="97" max="97" width="1.19921875" style="1" customWidth="1"/>
    <col min="98" max="98" width="53.69921875" style="1" customWidth="1"/>
    <col min="99" max="103" width="10.59765625" style="1" customWidth="1"/>
    <col min="104" max="104" width="9.296875" style="1" customWidth="1"/>
    <col min="105" max="105" width="8.296875" style="1" customWidth="1"/>
    <col min="106" max="106" width="10.59765625" style="1" customWidth="1"/>
    <col min="107" max="107" width="41.59765625" style="1" customWidth="1"/>
    <col min="108" max="352" width="9" style="1"/>
    <col min="353" max="353" width="1.19921875" style="1" customWidth="1"/>
    <col min="354" max="354" width="53.69921875" style="1" customWidth="1"/>
    <col min="355" max="359" width="10.59765625" style="1" customWidth="1"/>
    <col min="360" max="360" width="9.296875" style="1" customWidth="1"/>
    <col min="361" max="361" width="8.296875" style="1" customWidth="1"/>
    <col min="362" max="362" width="10.59765625" style="1" customWidth="1"/>
    <col min="363" max="363" width="41.59765625" style="1" customWidth="1"/>
    <col min="364" max="608" width="9" style="1"/>
    <col min="609" max="609" width="1.19921875" style="1" customWidth="1"/>
    <col min="610" max="610" width="53.69921875" style="1" customWidth="1"/>
    <col min="611" max="615" width="10.59765625" style="1" customWidth="1"/>
    <col min="616" max="616" width="9.296875" style="1" customWidth="1"/>
    <col min="617" max="617" width="8.296875" style="1" customWidth="1"/>
    <col min="618" max="618" width="10.59765625" style="1" customWidth="1"/>
    <col min="619" max="619" width="41.59765625" style="1" customWidth="1"/>
    <col min="620" max="864" width="9" style="1"/>
    <col min="865" max="865" width="1.19921875" style="1" customWidth="1"/>
    <col min="866" max="866" width="53.69921875" style="1" customWidth="1"/>
    <col min="867" max="871" width="10.59765625" style="1" customWidth="1"/>
    <col min="872" max="872" width="9.296875" style="1" customWidth="1"/>
    <col min="873" max="873" width="8.296875" style="1" customWidth="1"/>
    <col min="874" max="874" width="10.59765625" style="1" customWidth="1"/>
    <col min="875" max="875" width="41.59765625" style="1" customWidth="1"/>
    <col min="876" max="1120" width="9" style="1"/>
    <col min="1121" max="1121" width="1.19921875" style="1" customWidth="1"/>
    <col min="1122" max="1122" width="53.69921875" style="1" customWidth="1"/>
    <col min="1123" max="1127" width="10.59765625" style="1" customWidth="1"/>
    <col min="1128" max="1128" width="9.296875" style="1" customWidth="1"/>
    <col min="1129" max="1129" width="8.296875" style="1" customWidth="1"/>
    <col min="1130" max="1130" width="10.59765625" style="1" customWidth="1"/>
    <col min="1131" max="1131" width="41.59765625" style="1" customWidth="1"/>
    <col min="1132" max="1376" width="9" style="1"/>
    <col min="1377" max="1377" width="1.19921875" style="1" customWidth="1"/>
    <col min="1378" max="1378" width="53.69921875" style="1" customWidth="1"/>
    <col min="1379" max="1383" width="10.59765625" style="1" customWidth="1"/>
    <col min="1384" max="1384" width="9.296875" style="1" customWidth="1"/>
    <col min="1385" max="1385" width="8.296875" style="1" customWidth="1"/>
    <col min="1386" max="1386" width="10.59765625" style="1" customWidth="1"/>
    <col min="1387" max="1387" width="41.59765625" style="1" customWidth="1"/>
    <col min="1388" max="1632" width="9" style="1"/>
    <col min="1633" max="1633" width="1.19921875" style="1" customWidth="1"/>
    <col min="1634" max="1634" width="53.69921875" style="1" customWidth="1"/>
    <col min="1635" max="1639" width="10.59765625" style="1" customWidth="1"/>
    <col min="1640" max="1640" width="9.296875" style="1" customWidth="1"/>
    <col min="1641" max="1641" width="8.296875" style="1" customWidth="1"/>
    <col min="1642" max="1642" width="10.59765625" style="1" customWidth="1"/>
    <col min="1643" max="1643" width="41.59765625" style="1" customWidth="1"/>
    <col min="1644" max="1888" width="9" style="1"/>
    <col min="1889" max="1889" width="1.19921875" style="1" customWidth="1"/>
    <col min="1890" max="1890" width="53.69921875" style="1" customWidth="1"/>
    <col min="1891" max="1895" width="10.59765625" style="1" customWidth="1"/>
    <col min="1896" max="1896" width="9.296875" style="1" customWidth="1"/>
    <col min="1897" max="1897" width="8.296875" style="1" customWidth="1"/>
    <col min="1898" max="1898" width="10.59765625" style="1" customWidth="1"/>
    <col min="1899" max="1899" width="41.59765625" style="1" customWidth="1"/>
    <col min="1900" max="2144" width="9" style="1"/>
    <col min="2145" max="2145" width="1.19921875" style="1" customWidth="1"/>
    <col min="2146" max="2146" width="53.69921875" style="1" customWidth="1"/>
    <col min="2147" max="2151" width="10.59765625" style="1" customWidth="1"/>
    <col min="2152" max="2152" width="9.296875" style="1" customWidth="1"/>
    <col min="2153" max="2153" width="8.296875" style="1" customWidth="1"/>
    <col min="2154" max="2154" width="10.59765625" style="1" customWidth="1"/>
    <col min="2155" max="2155" width="41.59765625" style="1" customWidth="1"/>
    <col min="2156" max="2400" width="9" style="1"/>
    <col min="2401" max="2401" width="1.19921875" style="1" customWidth="1"/>
    <col min="2402" max="2402" width="53.69921875" style="1" customWidth="1"/>
    <col min="2403" max="2407" width="10.59765625" style="1" customWidth="1"/>
    <col min="2408" max="2408" width="9.296875" style="1" customWidth="1"/>
    <col min="2409" max="2409" width="8.296875" style="1" customWidth="1"/>
    <col min="2410" max="2410" width="10.59765625" style="1" customWidth="1"/>
    <col min="2411" max="2411" width="41.59765625" style="1" customWidth="1"/>
    <col min="2412" max="2656" width="9" style="1"/>
    <col min="2657" max="2657" width="1.19921875" style="1" customWidth="1"/>
    <col min="2658" max="2658" width="53.69921875" style="1" customWidth="1"/>
    <col min="2659" max="2663" width="10.59765625" style="1" customWidth="1"/>
    <col min="2664" max="2664" width="9.296875" style="1" customWidth="1"/>
    <col min="2665" max="2665" width="8.296875" style="1" customWidth="1"/>
    <col min="2666" max="2666" width="10.59765625" style="1" customWidth="1"/>
    <col min="2667" max="2667" width="41.59765625" style="1" customWidth="1"/>
    <col min="2668" max="2912" width="9" style="1"/>
    <col min="2913" max="2913" width="1.19921875" style="1" customWidth="1"/>
    <col min="2914" max="2914" width="53.69921875" style="1" customWidth="1"/>
    <col min="2915" max="2919" width="10.59765625" style="1" customWidth="1"/>
    <col min="2920" max="2920" width="9.296875" style="1" customWidth="1"/>
    <col min="2921" max="2921" width="8.296875" style="1" customWidth="1"/>
    <col min="2922" max="2922" width="10.59765625" style="1" customWidth="1"/>
    <col min="2923" max="2923" width="41.59765625" style="1" customWidth="1"/>
    <col min="2924" max="3168" width="9" style="1"/>
    <col min="3169" max="3169" width="1.19921875" style="1" customWidth="1"/>
    <col min="3170" max="3170" width="53.69921875" style="1" customWidth="1"/>
    <col min="3171" max="3175" width="10.59765625" style="1" customWidth="1"/>
    <col min="3176" max="3176" width="9.296875" style="1" customWidth="1"/>
    <col min="3177" max="3177" width="8.296875" style="1" customWidth="1"/>
    <col min="3178" max="3178" width="10.59765625" style="1" customWidth="1"/>
    <col min="3179" max="3179" width="41.59765625" style="1" customWidth="1"/>
    <col min="3180" max="3424" width="9" style="1"/>
    <col min="3425" max="3425" width="1.19921875" style="1" customWidth="1"/>
    <col min="3426" max="3426" width="53.69921875" style="1" customWidth="1"/>
    <col min="3427" max="3431" width="10.59765625" style="1" customWidth="1"/>
    <col min="3432" max="3432" width="9.296875" style="1" customWidth="1"/>
    <col min="3433" max="3433" width="8.296875" style="1" customWidth="1"/>
    <col min="3434" max="3434" width="10.59765625" style="1" customWidth="1"/>
    <col min="3435" max="3435" width="41.59765625" style="1" customWidth="1"/>
    <col min="3436" max="3680" width="9" style="1"/>
    <col min="3681" max="3681" width="1.19921875" style="1" customWidth="1"/>
    <col min="3682" max="3682" width="53.69921875" style="1" customWidth="1"/>
    <col min="3683" max="3687" width="10.59765625" style="1" customWidth="1"/>
    <col min="3688" max="3688" width="9.296875" style="1" customWidth="1"/>
    <col min="3689" max="3689" width="8.296875" style="1" customWidth="1"/>
    <col min="3690" max="3690" width="10.59765625" style="1" customWidth="1"/>
    <col min="3691" max="3691" width="41.59765625" style="1" customWidth="1"/>
    <col min="3692" max="3936" width="9" style="1"/>
    <col min="3937" max="3937" width="1.19921875" style="1" customWidth="1"/>
    <col min="3938" max="3938" width="53.69921875" style="1" customWidth="1"/>
    <col min="3939" max="3943" width="10.59765625" style="1" customWidth="1"/>
    <col min="3944" max="3944" width="9.296875" style="1" customWidth="1"/>
    <col min="3945" max="3945" width="8.296875" style="1" customWidth="1"/>
    <col min="3946" max="3946" width="10.59765625" style="1" customWidth="1"/>
    <col min="3947" max="3947" width="41.59765625" style="1" customWidth="1"/>
    <col min="3948" max="4192" width="9" style="1"/>
    <col min="4193" max="4193" width="1.19921875" style="1" customWidth="1"/>
    <col min="4194" max="4194" width="53.69921875" style="1" customWidth="1"/>
    <col min="4195" max="4199" width="10.59765625" style="1" customWidth="1"/>
    <col min="4200" max="4200" width="9.296875" style="1" customWidth="1"/>
    <col min="4201" max="4201" width="8.296875" style="1" customWidth="1"/>
    <col min="4202" max="4202" width="10.59765625" style="1" customWidth="1"/>
    <col min="4203" max="4203" width="41.59765625" style="1" customWidth="1"/>
    <col min="4204" max="4448" width="9" style="1"/>
    <col min="4449" max="4449" width="1.19921875" style="1" customWidth="1"/>
    <col min="4450" max="4450" width="53.69921875" style="1" customWidth="1"/>
    <col min="4451" max="4455" width="10.59765625" style="1" customWidth="1"/>
    <col min="4456" max="4456" width="9.296875" style="1" customWidth="1"/>
    <col min="4457" max="4457" width="8.296875" style="1" customWidth="1"/>
    <col min="4458" max="4458" width="10.59765625" style="1" customWidth="1"/>
    <col min="4459" max="4459" width="41.59765625" style="1" customWidth="1"/>
    <col min="4460" max="4704" width="9" style="1"/>
    <col min="4705" max="4705" width="1.19921875" style="1" customWidth="1"/>
    <col min="4706" max="4706" width="53.69921875" style="1" customWidth="1"/>
    <col min="4707" max="4711" width="10.59765625" style="1" customWidth="1"/>
    <col min="4712" max="4712" width="9.296875" style="1" customWidth="1"/>
    <col min="4713" max="4713" width="8.296875" style="1" customWidth="1"/>
    <col min="4714" max="4714" width="10.59765625" style="1" customWidth="1"/>
    <col min="4715" max="4715" width="41.59765625" style="1" customWidth="1"/>
    <col min="4716" max="4960" width="9" style="1"/>
    <col min="4961" max="4961" width="1.19921875" style="1" customWidth="1"/>
    <col min="4962" max="4962" width="53.69921875" style="1" customWidth="1"/>
    <col min="4963" max="4967" width="10.59765625" style="1" customWidth="1"/>
    <col min="4968" max="4968" width="9.296875" style="1" customWidth="1"/>
    <col min="4969" max="4969" width="8.296875" style="1" customWidth="1"/>
    <col min="4970" max="4970" width="10.59765625" style="1" customWidth="1"/>
    <col min="4971" max="4971" width="41.59765625" style="1" customWidth="1"/>
    <col min="4972" max="5216" width="9" style="1"/>
    <col min="5217" max="5217" width="1.19921875" style="1" customWidth="1"/>
    <col min="5218" max="5218" width="53.69921875" style="1" customWidth="1"/>
    <col min="5219" max="5223" width="10.59765625" style="1" customWidth="1"/>
    <col min="5224" max="5224" width="9.296875" style="1" customWidth="1"/>
    <col min="5225" max="5225" width="8.296875" style="1" customWidth="1"/>
    <col min="5226" max="5226" width="10.59765625" style="1" customWidth="1"/>
    <col min="5227" max="5227" width="41.59765625" style="1" customWidth="1"/>
    <col min="5228" max="5472" width="9" style="1"/>
    <col min="5473" max="5473" width="1.19921875" style="1" customWidth="1"/>
    <col min="5474" max="5474" width="53.69921875" style="1" customWidth="1"/>
    <col min="5475" max="5479" width="10.59765625" style="1" customWidth="1"/>
    <col min="5480" max="5480" width="9.296875" style="1" customWidth="1"/>
    <col min="5481" max="5481" width="8.296875" style="1" customWidth="1"/>
    <col min="5482" max="5482" width="10.59765625" style="1" customWidth="1"/>
    <col min="5483" max="5483" width="41.59765625" style="1" customWidth="1"/>
    <col min="5484" max="5728" width="9" style="1"/>
    <col min="5729" max="5729" width="1.19921875" style="1" customWidth="1"/>
    <col min="5730" max="5730" width="53.69921875" style="1" customWidth="1"/>
    <col min="5731" max="5735" width="10.59765625" style="1" customWidth="1"/>
    <col min="5736" max="5736" width="9.296875" style="1" customWidth="1"/>
    <col min="5737" max="5737" width="8.296875" style="1" customWidth="1"/>
    <col min="5738" max="5738" width="10.59765625" style="1" customWidth="1"/>
    <col min="5739" max="5739" width="41.59765625" style="1" customWidth="1"/>
    <col min="5740" max="5984" width="9" style="1"/>
    <col min="5985" max="5985" width="1.19921875" style="1" customWidth="1"/>
    <col min="5986" max="5986" width="53.69921875" style="1" customWidth="1"/>
    <col min="5987" max="5991" width="10.59765625" style="1" customWidth="1"/>
    <col min="5992" max="5992" width="9.296875" style="1" customWidth="1"/>
    <col min="5993" max="5993" width="8.296875" style="1" customWidth="1"/>
    <col min="5994" max="5994" width="10.59765625" style="1" customWidth="1"/>
    <col min="5995" max="5995" width="41.59765625" style="1" customWidth="1"/>
    <col min="5996" max="6240" width="9" style="1"/>
    <col min="6241" max="6241" width="1.19921875" style="1" customWidth="1"/>
    <col min="6242" max="6242" width="53.69921875" style="1" customWidth="1"/>
    <col min="6243" max="6247" width="10.59765625" style="1" customWidth="1"/>
    <col min="6248" max="6248" width="9.296875" style="1" customWidth="1"/>
    <col min="6249" max="6249" width="8.296875" style="1" customWidth="1"/>
    <col min="6250" max="6250" width="10.59765625" style="1" customWidth="1"/>
    <col min="6251" max="6251" width="41.59765625" style="1" customWidth="1"/>
    <col min="6252" max="6496" width="9" style="1"/>
    <col min="6497" max="6497" width="1.19921875" style="1" customWidth="1"/>
    <col min="6498" max="6498" width="53.69921875" style="1" customWidth="1"/>
    <col min="6499" max="6503" width="10.59765625" style="1" customWidth="1"/>
    <col min="6504" max="6504" width="9.296875" style="1" customWidth="1"/>
    <col min="6505" max="6505" width="8.296875" style="1" customWidth="1"/>
    <col min="6506" max="6506" width="10.59765625" style="1" customWidth="1"/>
    <col min="6507" max="6507" width="41.59765625" style="1" customWidth="1"/>
    <col min="6508" max="6752" width="9" style="1"/>
    <col min="6753" max="6753" width="1.19921875" style="1" customWidth="1"/>
    <col min="6754" max="6754" width="53.69921875" style="1" customWidth="1"/>
    <col min="6755" max="6759" width="10.59765625" style="1" customWidth="1"/>
    <col min="6760" max="6760" width="9.296875" style="1" customWidth="1"/>
    <col min="6761" max="6761" width="8.296875" style="1" customWidth="1"/>
    <col min="6762" max="6762" width="10.59765625" style="1" customWidth="1"/>
    <col min="6763" max="6763" width="41.59765625" style="1" customWidth="1"/>
    <col min="6764" max="7008" width="9" style="1"/>
    <col min="7009" max="7009" width="1.19921875" style="1" customWidth="1"/>
    <col min="7010" max="7010" width="53.69921875" style="1" customWidth="1"/>
    <col min="7011" max="7015" width="10.59765625" style="1" customWidth="1"/>
    <col min="7016" max="7016" width="9.296875" style="1" customWidth="1"/>
    <col min="7017" max="7017" width="8.296875" style="1" customWidth="1"/>
    <col min="7018" max="7018" width="10.59765625" style="1" customWidth="1"/>
    <col min="7019" max="7019" width="41.59765625" style="1" customWidth="1"/>
    <col min="7020" max="7264" width="9" style="1"/>
    <col min="7265" max="7265" width="1.19921875" style="1" customWidth="1"/>
    <col min="7266" max="7266" width="53.69921875" style="1" customWidth="1"/>
    <col min="7267" max="7271" width="10.59765625" style="1" customWidth="1"/>
    <col min="7272" max="7272" width="9.296875" style="1" customWidth="1"/>
    <col min="7273" max="7273" width="8.296875" style="1" customWidth="1"/>
    <col min="7274" max="7274" width="10.59765625" style="1" customWidth="1"/>
    <col min="7275" max="7275" width="41.59765625" style="1" customWidth="1"/>
    <col min="7276" max="7520" width="9" style="1"/>
    <col min="7521" max="7521" width="1.19921875" style="1" customWidth="1"/>
    <col min="7522" max="7522" width="53.69921875" style="1" customWidth="1"/>
    <col min="7523" max="7527" width="10.59765625" style="1" customWidth="1"/>
    <col min="7528" max="7528" width="9.296875" style="1" customWidth="1"/>
    <col min="7529" max="7529" width="8.296875" style="1" customWidth="1"/>
    <col min="7530" max="7530" width="10.59765625" style="1" customWidth="1"/>
    <col min="7531" max="7531" width="41.59765625" style="1" customWidth="1"/>
    <col min="7532" max="7776" width="9" style="1"/>
    <col min="7777" max="7777" width="1.19921875" style="1" customWidth="1"/>
    <col min="7778" max="7778" width="53.69921875" style="1" customWidth="1"/>
    <col min="7779" max="7783" width="10.59765625" style="1" customWidth="1"/>
    <col min="7784" max="7784" width="9.296875" style="1" customWidth="1"/>
    <col min="7785" max="7785" width="8.296875" style="1" customWidth="1"/>
    <col min="7786" max="7786" width="10.59765625" style="1" customWidth="1"/>
    <col min="7787" max="7787" width="41.59765625" style="1" customWidth="1"/>
    <col min="7788" max="8032" width="9" style="1"/>
    <col min="8033" max="8033" width="1.19921875" style="1" customWidth="1"/>
    <col min="8034" max="8034" width="53.69921875" style="1" customWidth="1"/>
    <col min="8035" max="8039" width="10.59765625" style="1" customWidth="1"/>
    <col min="8040" max="8040" width="9.296875" style="1" customWidth="1"/>
    <col min="8041" max="8041" width="8.296875" style="1" customWidth="1"/>
    <col min="8042" max="8042" width="10.59765625" style="1" customWidth="1"/>
    <col min="8043" max="8043" width="41.59765625" style="1" customWidth="1"/>
    <col min="8044" max="8288" width="9" style="1"/>
    <col min="8289" max="8289" width="1.19921875" style="1" customWidth="1"/>
    <col min="8290" max="8290" width="53.69921875" style="1" customWidth="1"/>
    <col min="8291" max="8295" width="10.59765625" style="1" customWidth="1"/>
    <col min="8296" max="8296" width="9.296875" style="1" customWidth="1"/>
    <col min="8297" max="8297" width="8.296875" style="1" customWidth="1"/>
    <col min="8298" max="8298" width="10.59765625" style="1" customWidth="1"/>
    <col min="8299" max="8299" width="41.59765625" style="1" customWidth="1"/>
    <col min="8300" max="8544" width="9" style="1"/>
    <col min="8545" max="8545" width="1.19921875" style="1" customWidth="1"/>
    <col min="8546" max="8546" width="53.69921875" style="1" customWidth="1"/>
    <col min="8547" max="8551" width="10.59765625" style="1" customWidth="1"/>
    <col min="8552" max="8552" width="9.296875" style="1" customWidth="1"/>
    <col min="8553" max="8553" width="8.296875" style="1" customWidth="1"/>
    <col min="8554" max="8554" width="10.59765625" style="1" customWidth="1"/>
    <col min="8555" max="8555" width="41.59765625" style="1" customWidth="1"/>
    <col min="8556" max="8800" width="9" style="1"/>
    <col min="8801" max="8801" width="1.19921875" style="1" customWidth="1"/>
    <col min="8802" max="8802" width="53.69921875" style="1" customWidth="1"/>
    <col min="8803" max="8807" width="10.59765625" style="1" customWidth="1"/>
    <col min="8808" max="8808" width="9.296875" style="1" customWidth="1"/>
    <col min="8809" max="8809" width="8.296875" style="1" customWidth="1"/>
    <col min="8810" max="8810" width="10.59765625" style="1" customWidth="1"/>
    <col min="8811" max="8811" width="41.59765625" style="1" customWidth="1"/>
    <col min="8812" max="9056" width="9" style="1"/>
    <col min="9057" max="9057" width="1.19921875" style="1" customWidth="1"/>
    <col min="9058" max="9058" width="53.69921875" style="1" customWidth="1"/>
    <col min="9059" max="9063" width="10.59765625" style="1" customWidth="1"/>
    <col min="9064" max="9064" width="9.296875" style="1" customWidth="1"/>
    <col min="9065" max="9065" width="8.296875" style="1" customWidth="1"/>
    <col min="9066" max="9066" width="10.59765625" style="1" customWidth="1"/>
    <col min="9067" max="9067" width="41.59765625" style="1" customWidth="1"/>
    <col min="9068" max="9312" width="9" style="1"/>
    <col min="9313" max="9313" width="1.19921875" style="1" customWidth="1"/>
    <col min="9314" max="9314" width="53.69921875" style="1" customWidth="1"/>
    <col min="9315" max="9319" width="10.59765625" style="1" customWidth="1"/>
    <col min="9320" max="9320" width="9.296875" style="1" customWidth="1"/>
    <col min="9321" max="9321" width="8.296875" style="1" customWidth="1"/>
    <col min="9322" max="9322" width="10.59765625" style="1" customWidth="1"/>
    <col min="9323" max="9323" width="41.59765625" style="1" customWidth="1"/>
    <col min="9324" max="9568" width="9" style="1"/>
    <col min="9569" max="9569" width="1.19921875" style="1" customWidth="1"/>
    <col min="9570" max="9570" width="53.69921875" style="1" customWidth="1"/>
    <col min="9571" max="9575" width="10.59765625" style="1" customWidth="1"/>
    <col min="9576" max="9576" width="9.296875" style="1" customWidth="1"/>
    <col min="9577" max="9577" width="8.296875" style="1" customWidth="1"/>
    <col min="9578" max="9578" width="10.59765625" style="1" customWidth="1"/>
    <col min="9579" max="9579" width="41.59765625" style="1" customWidth="1"/>
    <col min="9580" max="9824" width="9" style="1"/>
    <col min="9825" max="9825" width="1.19921875" style="1" customWidth="1"/>
    <col min="9826" max="9826" width="53.69921875" style="1" customWidth="1"/>
    <col min="9827" max="9831" width="10.59765625" style="1" customWidth="1"/>
    <col min="9832" max="9832" width="9.296875" style="1" customWidth="1"/>
    <col min="9833" max="9833" width="8.296875" style="1" customWidth="1"/>
    <col min="9834" max="9834" width="10.59765625" style="1" customWidth="1"/>
    <col min="9835" max="9835" width="41.59765625" style="1" customWidth="1"/>
    <col min="9836" max="10080" width="9" style="1"/>
    <col min="10081" max="10081" width="1.19921875" style="1" customWidth="1"/>
    <col min="10082" max="10082" width="53.69921875" style="1" customWidth="1"/>
    <col min="10083" max="10087" width="10.59765625" style="1" customWidth="1"/>
    <col min="10088" max="10088" width="9.296875" style="1" customWidth="1"/>
    <col min="10089" max="10089" width="8.296875" style="1" customWidth="1"/>
    <col min="10090" max="10090" width="10.59765625" style="1" customWidth="1"/>
    <col min="10091" max="10091" width="41.59765625" style="1" customWidth="1"/>
    <col min="10092" max="10336" width="9" style="1"/>
    <col min="10337" max="10337" width="1.19921875" style="1" customWidth="1"/>
    <col min="10338" max="10338" width="53.69921875" style="1" customWidth="1"/>
    <col min="10339" max="10343" width="10.59765625" style="1" customWidth="1"/>
    <col min="10344" max="10344" width="9.296875" style="1" customWidth="1"/>
    <col min="10345" max="10345" width="8.296875" style="1" customWidth="1"/>
    <col min="10346" max="10346" width="10.59765625" style="1" customWidth="1"/>
    <col min="10347" max="10347" width="41.59765625" style="1" customWidth="1"/>
    <col min="10348" max="10592" width="9" style="1"/>
    <col min="10593" max="10593" width="1.19921875" style="1" customWidth="1"/>
    <col min="10594" max="10594" width="53.69921875" style="1" customWidth="1"/>
    <col min="10595" max="10599" width="10.59765625" style="1" customWidth="1"/>
    <col min="10600" max="10600" width="9.296875" style="1" customWidth="1"/>
    <col min="10601" max="10601" width="8.296875" style="1" customWidth="1"/>
    <col min="10602" max="10602" width="10.59765625" style="1" customWidth="1"/>
    <col min="10603" max="10603" width="41.59765625" style="1" customWidth="1"/>
    <col min="10604" max="10848" width="9" style="1"/>
    <col min="10849" max="10849" width="1.19921875" style="1" customWidth="1"/>
    <col min="10850" max="10850" width="53.69921875" style="1" customWidth="1"/>
    <col min="10851" max="10855" width="10.59765625" style="1" customWidth="1"/>
    <col min="10856" max="10856" width="9.296875" style="1" customWidth="1"/>
    <col min="10857" max="10857" width="8.296875" style="1" customWidth="1"/>
    <col min="10858" max="10858" width="10.59765625" style="1" customWidth="1"/>
    <col min="10859" max="10859" width="41.59765625" style="1" customWidth="1"/>
    <col min="10860" max="11104" width="9" style="1"/>
    <col min="11105" max="11105" width="1.19921875" style="1" customWidth="1"/>
    <col min="11106" max="11106" width="53.69921875" style="1" customWidth="1"/>
    <col min="11107" max="11111" width="10.59765625" style="1" customWidth="1"/>
    <col min="11112" max="11112" width="9.296875" style="1" customWidth="1"/>
    <col min="11113" max="11113" width="8.296875" style="1" customWidth="1"/>
    <col min="11114" max="11114" width="10.59765625" style="1" customWidth="1"/>
    <col min="11115" max="11115" width="41.59765625" style="1" customWidth="1"/>
    <col min="11116" max="11360" width="9" style="1"/>
    <col min="11361" max="11361" width="1.19921875" style="1" customWidth="1"/>
    <col min="11362" max="11362" width="53.69921875" style="1" customWidth="1"/>
    <col min="11363" max="11367" width="10.59765625" style="1" customWidth="1"/>
    <col min="11368" max="11368" width="9.296875" style="1" customWidth="1"/>
    <col min="11369" max="11369" width="8.296875" style="1" customWidth="1"/>
    <col min="11370" max="11370" width="10.59765625" style="1" customWidth="1"/>
    <col min="11371" max="11371" width="41.59765625" style="1" customWidth="1"/>
    <col min="11372" max="11616" width="9" style="1"/>
    <col min="11617" max="11617" width="1.19921875" style="1" customWidth="1"/>
    <col min="11618" max="11618" width="53.69921875" style="1" customWidth="1"/>
    <col min="11619" max="11623" width="10.59765625" style="1" customWidth="1"/>
    <col min="11624" max="11624" width="9.296875" style="1" customWidth="1"/>
    <col min="11625" max="11625" width="8.296875" style="1" customWidth="1"/>
    <col min="11626" max="11626" width="10.59765625" style="1" customWidth="1"/>
    <col min="11627" max="11627" width="41.59765625" style="1" customWidth="1"/>
    <col min="11628" max="11872" width="9" style="1"/>
    <col min="11873" max="11873" width="1.19921875" style="1" customWidth="1"/>
    <col min="11874" max="11874" width="53.69921875" style="1" customWidth="1"/>
    <col min="11875" max="11879" width="10.59765625" style="1" customWidth="1"/>
    <col min="11880" max="11880" width="9.296875" style="1" customWidth="1"/>
    <col min="11881" max="11881" width="8.296875" style="1" customWidth="1"/>
    <col min="11882" max="11882" width="10.59765625" style="1" customWidth="1"/>
    <col min="11883" max="11883" width="41.59765625" style="1" customWidth="1"/>
    <col min="11884" max="12128" width="9" style="1"/>
    <col min="12129" max="12129" width="1.19921875" style="1" customWidth="1"/>
    <col min="12130" max="12130" width="53.69921875" style="1" customWidth="1"/>
    <col min="12131" max="12135" width="10.59765625" style="1" customWidth="1"/>
    <col min="12136" max="12136" width="9.296875" style="1" customWidth="1"/>
    <col min="12137" max="12137" width="8.296875" style="1" customWidth="1"/>
    <col min="12138" max="12138" width="10.59765625" style="1" customWidth="1"/>
    <col min="12139" max="12139" width="41.59765625" style="1" customWidth="1"/>
    <col min="12140" max="12384" width="9" style="1"/>
    <col min="12385" max="12385" width="1.19921875" style="1" customWidth="1"/>
    <col min="12386" max="12386" width="53.69921875" style="1" customWidth="1"/>
    <col min="12387" max="12391" width="10.59765625" style="1" customWidth="1"/>
    <col min="12392" max="12392" width="9.296875" style="1" customWidth="1"/>
    <col min="12393" max="12393" width="8.296875" style="1" customWidth="1"/>
    <col min="12394" max="12394" width="10.59765625" style="1" customWidth="1"/>
    <col min="12395" max="12395" width="41.59765625" style="1" customWidth="1"/>
    <col min="12396" max="12640" width="9" style="1"/>
    <col min="12641" max="12641" width="1.19921875" style="1" customWidth="1"/>
    <col min="12642" max="12642" width="53.69921875" style="1" customWidth="1"/>
    <col min="12643" max="12647" width="10.59765625" style="1" customWidth="1"/>
    <col min="12648" max="12648" width="9.296875" style="1" customWidth="1"/>
    <col min="12649" max="12649" width="8.296875" style="1" customWidth="1"/>
    <col min="12650" max="12650" width="10.59765625" style="1" customWidth="1"/>
    <col min="12651" max="12651" width="41.59765625" style="1" customWidth="1"/>
    <col min="12652" max="12896" width="9" style="1"/>
    <col min="12897" max="12897" width="1.19921875" style="1" customWidth="1"/>
    <col min="12898" max="12898" width="53.69921875" style="1" customWidth="1"/>
    <col min="12899" max="12903" width="10.59765625" style="1" customWidth="1"/>
    <col min="12904" max="12904" width="9.296875" style="1" customWidth="1"/>
    <col min="12905" max="12905" width="8.296875" style="1" customWidth="1"/>
    <col min="12906" max="12906" width="10.59765625" style="1" customWidth="1"/>
    <col min="12907" max="12907" width="41.59765625" style="1" customWidth="1"/>
    <col min="12908" max="13152" width="9" style="1"/>
    <col min="13153" max="13153" width="1.19921875" style="1" customWidth="1"/>
    <col min="13154" max="13154" width="53.69921875" style="1" customWidth="1"/>
    <col min="13155" max="13159" width="10.59765625" style="1" customWidth="1"/>
    <col min="13160" max="13160" width="9.296875" style="1" customWidth="1"/>
    <col min="13161" max="13161" width="8.296875" style="1" customWidth="1"/>
    <col min="13162" max="13162" width="10.59765625" style="1" customWidth="1"/>
    <col min="13163" max="13163" width="41.59765625" style="1" customWidth="1"/>
    <col min="13164" max="13408" width="9" style="1"/>
    <col min="13409" max="13409" width="1.19921875" style="1" customWidth="1"/>
    <col min="13410" max="13410" width="53.69921875" style="1" customWidth="1"/>
    <col min="13411" max="13415" width="10.59765625" style="1" customWidth="1"/>
    <col min="13416" max="13416" width="9.296875" style="1" customWidth="1"/>
    <col min="13417" max="13417" width="8.296875" style="1" customWidth="1"/>
    <col min="13418" max="13418" width="10.59765625" style="1" customWidth="1"/>
    <col min="13419" max="13419" width="41.59765625" style="1" customWidth="1"/>
    <col min="13420" max="13664" width="9" style="1"/>
    <col min="13665" max="13665" width="1.19921875" style="1" customWidth="1"/>
    <col min="13666" max="13666" width="53.69921875" style="1" customWidth="1"/>
    <col min="13667" max="13671" width="10.59765625" style="1" customWidth="1"/>
    <col min="13672" max="13672" width="9.296875" style="1" customWidth="1"/>
    <col min="13673" max="13673" width="8.296875" style="1" customWidth="1"/>
    <col min="13674" max="13674" width="10.59765625" style="1" customWidth="1"/>
    <col min="13675" max="13675" width="41.59765625" style="1" customWidth="1"/>
    <col min="13676" max="13920" width="9" style="1"/>
    <col min="13921" max="13921" width="1.19921875" style="1" customWidth="1"/>
    <col min="13922" max="13922" width="53.69921875" style="1" customWidth="1"/>
    <col min="13923" max="13927" width="10.59765625" style="1" customWidth="1"/>
    <col min="13928" max="13928" width="9.296875" style="1" customWidth="1"/>
    <col min="13929" max="13929" width="8.296875" style="1" customWidth="1"/>
    <col min="13930" max="13930" width="10.59765625" style="1" customWidth="1"/>
    <col min="13931" max="13931" width="41.59765625" style="1" customWidth="1"/>
    <col min="13932" max="14176" width="9" style="1"/>
    <col min="14177" max="14177" width="1.19921875" style="1" customWidth="1"/>
    <col min="14178" max="14178" width="53.69921875" style="1" customWidth="1"/>
    <col min="14179" max="14183" width="10.59765625" style="1" customWidth="1"/>
    <col min="14184" max="14184" width="9.296875" style="1" customWidth="1"/>
    <col min="14185" max="14185" width="8.296875" style="1" customWidth="1"/>
    <col min="14186" max="14186" width="10.59765625" style="1" customWidth="1"/>
    <col min="14187" max="14187" width="41.59765625" style="1" customWidth="1"/>
    <col min="14188" max="14432" width="9" style="1"/>
    <col min="14433" max="14433" width="1.19921875" style="1" customWidth="1"/>
    <col min="14434" max="14434" width="53.69921875" style="1" customWidth="1"/>
    <col min="14435" max="14439" width="10.59765625" style="1" customWidth="1"/>
    <col min="14440" max="14440" width="9.296875" style="1" customWidth="1"/>
    <col min="14441" max="14441" width="8.296875" style="1" customWidth="1"/>
    <col min="14442" max="14442" width="10.59765625" style="1" customWidth="1"/>
    <col min="14443" max="14443" width="41.59765625" style="1" customWidth="1"/>
    <col min="14444" max="14688" width="9" style="1"/>
    <col min="14689" max="14689" width="1.19921875" style="1" customWidth="1"/>
    <col min="14690" max="14690" width="53.69921875" style="1" customWidth="1"/>
    <col min="14691" max="14695" width="10.59765625" style="1" customWidth="1"/>
    <col min="14696" max="14696" width="9.296875" style="1" customWidth="1"/>
    <col min="14697" max="14697" width="8.296875" style="1" customWidth="1"/>
    <col min="14698" max="14698" width="10.59765625" style="1" customWidth="1"/>
    <col min="14699" max="14699" width="41.59765625" style="1" customWidth="1"/>
    <col min="14700" max="14944" width="9" style="1"/>
    <col min="14945" max="14945" width="1.19921875" style="1" customWidth="1"/>
    <col min="14946" max="14946" width="53.69921875" style="1" customWidth="1"/>
    <col min="14947" max="14951" width="10.59765625" style="1" customWidth="1"/>
    <col min="14952" max="14952" width="9.296875" style="1" customWidth="1"/>
    <col min="14953" max="14953" width="8.296875" style="1" customWidth="1"/>
    <col min="14954" max="14954" width="10.59765625" style="1" customWidth="1"/>
    <col min="14955" max="14955" width="41.59765625" style="1" customWidth="1"/>
    <col min="14956" max="15200" width="9" style="1"/>
    <col min="15201" max="15201" width="1.19921875" style="1" customWidth="1"/>
    <col min="15202" max="15202" width="53.69921875" style="1" customWidth="1"/>
    <col min="15203" max="15207" width="10.59765625" style="1" customWidth="1"/>
    <col min="15208" max="15208" width="9.296875" style="1" customWidth="1"/>
    <col min="15209" max="15209" width="8.296875" style="1" customWidth="1"/>
    <col min="15210" max="15210" width="10.59765625" style="1" customWidth="1"/>
    <col min="15211" max="15211" width="41.59765625" style="1" customWidth="1"/>
    <col min="15212" max="15456" width="9" style="1"/>
    <col min="15457" max="15457" width="1.19921875" style="1" customWidth="1"/>
    <col min="15458" max="15458" width="53.69921875" style="1" customWidth="1"/>
    <col min="15459" max="15463" width="10.59765625" style="1" customWidth="1"/>
    <col min="15464" max="15464" width="9.296875" style="1" customWidth="1"/>
    <col min="15465" max="15465" width="8.296875" style="1" customWidth="1"/>
    <col min="15466" max="15466" width="10.59765625" style="1" customWidth="1"/>
    <col min="15467" max="15467" width="41.59765625" style="1" customWidth="1"/>
    <col min="15468" max="15712" width="9" style="1"/>
    <col min="15713" max="15713" width="1.19921875" style="1" customWidth="1"/>
    <col min="15714" max="15714" width="53.69921875" style="1" customWidth="1"/>
    <col min="15715" max="15719" width="10.59765625" style="1" customWidth="1"/>
    <col min="15720" max="15720" width="9.296875" style="1" customWidth="1"/>
    <col min="15721" max="15721" width="8.296875" style="1" customWidth="1"/>
    <col min="15722" max="15722" width="10.59765625" style="1" customWidth="1"/>
    <col min="15723" max="15723" width="41.59765625" style="1" customWidth="1"/>
    <col min="15724" max="15968" width="9" style="1"/>
    <col min="15969" max="15969" width="1.19921875" style="1" customWidth="1"/>
    <col min="15970" max="15970" width="53.69921875" style="1" customWidth="1"/>
    <col min="15971" max="15975" width="10.59765625" style="1" customWidth="1"/>
    <col min="15976" max="15976" width="9.296875" style="1" customWidth="1"/>
    <col min="15977" max="15977" width="8.296875" style="1" customWidth="1"/>
    <col min="15978" max="15978" width="10.59765625" style="1" customWidth="1"/>
    <col min="15979" max="15979" width="41.59765625" style="1" customWidth="1"/>
    <col min="15980" max="16384" width="9" style="1"/>
  </cols>
  <sheetData>
    <row r="1" spans="1:31" ht="13.8" x14ac:dyDescent="0.25">
      <c r="A1" s="11" t="s">
        <v>20</v>
      </c>
      <c r="B1" s="33"/>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row>
    <row r="2" spans="1:31" x14ac:dyDescent="0.25">
      <c r="A2" s="32"/>
      <c r="B2" s="33"/>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row>
    <row r="3" spans="1:31" ht="15" customHeight="1" x14ac:dyDescent="0.25">
      <c r="A3" s="11" t="s">
        <v>843</v>
      </c>
      <c r="B3" s="11"/>
      <c r="C3" s="11"/>
      <c r="D3" s="11"/>
      <c r="E3" s="11"/>
      <c r="F3" s="11"/>
      <c r="G3" s="11"/>
      <c r="H3" s="350"/>
      <c r="I3" s="350"/>
      <c r="J3" s="350"/>
      <c r="K3" s="14"/>
      <c r="L3" s="14"/>
    </row>
    <row r="4" spans="1:31" ht="15" customHeight="1" x14ac:dyDescent="0.25">
      <c r="A4" s="11"/>
      <c r="B4" s="11"/>
      <c r="C4" s="11"/>
      <c r="D4" s="11"/>
      <c r="E4" s="11"/>
      <c r="F4" s="11"/>
      <c r="G4" s="11"/>
      <c r="H4" s="350"/>
      <c r="I4" s="350"/>
      <c r="J4" s="350"/>
      <c r="K4" s="14"/>
      <c r="L4" s="14"/>
    </row>
    <row r="5" spans="1:31" ht="22.5" customHeight="1" x14ac:dyDescent="0.25">
      <c r="A5" s="698" t="s">
        <v>191</v>
      </c>
      <c r="B5" s="698"/>
      <c r="C5" s="698"/>
      <c r="D5" s="698"/>
      <c r="E5" s="698"/>
      <c r="F5" s="698"/>
      <c r="G5" s="698"/>
      <c r="H5" s="698"/>
      <c r="I5" s="698"/>
      <c r="J5" s="698"/>
      <c r="K5" s="698"/>
      <c r="L5" s="698"/>
      <c r="M5" s="698"/>
      <c r="N5" s="698"/>
      <c r="O5" s="698"/>
      <c r="P5" s="698"/>
      <c r="Q5" s="698"/>
      <c r="R5" s="698"/>
      <c r="S5" s="698"/>
      <c r="T5" s="698"/>
      <c r="U5" s="698"/>
      <c r="V5" s="698"/>
    </row>
    <row r="6" spans="1:31" ht="55.5" customHeight="1" x14ac:dyDescent="0.25">
      <c r="A6" s="700" t="s">
        <v>192</v>
      </c>
      <c r="B6" s="700"/>
      <c r="C6" s="700"/>
      <c r="D6" s="700"/>
      <c r="E6" s="700"/>
      <c r="F6" s="700"/>
      <c r="G6" s="700"/>
      <c r="H6" s="700"/>
      <c r="I6" s="700"/>
      <c r="J6" s="700"/>
      <c r="K6" s="700"/>
      <c r="L6" s="700"/>
      <c r="M6" s="700"/>
      <c r="AB6" s="110"/>
      <c r="AC6" s="110"/>
      <c r="AD6" s="110"/>
    </row>
    <row r="7" spans="1:31" ht="14.4" thickBot="1" x14ac:dyDescent="0.3">
      <c r="A7" s="111"/>
      <c r="B7" s="84"/>
      <c r="C7" s="84"/>
      <c r="D7" s="84"/>
      <c r="E7" s="84"/>
      <c r="F7" s="84"/>
      <c r="G7" s="84"/>
      <c r="H7" s="84"/>
      <c r="I7" s="84"/>
      <c r="J7" s="84"/>
      <c r="K7" s="83"/>
      <c r="L7" s="83"/>
      <c r="M7" s="83"/>
      <c r="N7" s="83"/>
      <c r="O7" s="83"/>
      <c r="P7" s="83"/>
      <c r="Q7" s="83"/>
      <c r="R7" s="83"/>
      <c r="S7" s="83"/>
      <c r="T7" s="83"/>
      <c r="U7" s="83"/>
      <c r="V7" s="83"/>
      <c r="W7" s="83"/>
      <c r="X7" s="83"/>
      <c r="Y7" s="83"/>
      <c r="Z7" s="83"/>
      <c r="AA7" s="83"/>
      <c r="AB7" s="85"/>
      <c r="AC7" s="85"/>
      <c r="AD7" s="85"/>
    </row>
    <row r="8" spans="1:31" ht="15" customHeight="1" x14ac:dyDescent="0.25">
      <c r="A8" s="350"/>
      <c r="B8" s="701" t="s">
        <v>175</v>
      </c>
      <c r="C8" s="701"/>
      <c r="D8" s="701"/>
      <c r="E8" s="701"/>
      <c r="F8" s="701"/>
      <c r="G8" s="701"/>
      <c r="H8" s="701"/>
      <c r="I8" s="701"/>
      <c r="J8" s="392"/>
      <c r="L8" s="702" t="s">
        <v>44</v>
      </c>
      <c r="M8" s="702"/>
      <c r="N8" s="702"/>
      <c r="O8" s="702"/>
      <c r="P8" s="702"/>
      <c r="Q8" s="702"/>
      <c r="R8" s="702"/>
      <c r="S8" s="702"/>
      <c r="T8" s="393"/>
      <c r="V8" s="703" t="s">
        <v>45</v>
      </c>
      <c r="W8" s="703"/>
      <c r="X8" s="703"/>
      <c r="Y8" s="703"/>
      <c r="Z8" s="703"/>
      <c r="AA8" s="703"/>
      <c r="AB8" s="703"/>
      <c r="AC8" s="703"/>
      <c r="AD8" s="703"/>
    </row>
    <row r="9" spans="1:31" x14ac:dyDescent="0.25">
      <c r="A9" s="386"/>
      <c r="B9" s="2" t="s">
        <v>46</v>
      </c>
      <c r="C9" s="2" t="s">
        <v>47</v>
      </c>
      <c r="D9" s="2" t="s">
        <v>48</v>
      </c>
      <c r="E9" s="43" t="s">
        <v>49</v>
      </c>
      <c r="F9" s="2" t="s">
        <v>50</v>
      </c>
      <c r="G9" s="2" t="s">
        <v>51</v>
      </c>
      <c r="H9" s="2" t="s">
        <v>52</v>
      </c>
      <c r="I9" s="2" t="s">
        <v>53</v>
      </c>
      <c r="J9" s="2" t="s">
        <v>644</v>
      </c>
      <c r="L9" s="112" t="s">
        <v>46</v>
      </c>
      <c r="M9" s="112" t="s">
        <v>47</v>
      </c>
      <c r="N9" s="112" t="s">
        <v>48</v>
      </c>
      <c r="O9" s="113" t="s">
        <v>49</v>
      </c>
      <c r="P9" s="2" t="s">
        <v>50</v>
      </c>
      <c r="Q9" s="2" t="s">
        <v>51</v>
      </c>
      <c r="R9" s="2" t="s">
        <v>52</v>
      </c>
      <c r="S9" s="2" t="s">
        <v>53</v>
      </c>
      <c r="T9" s="2" t="s">
        <v>644</v>
      </c>
      <c r="V9" s="2" t="s">
        <v>46</v>
      </c>
      <c r="W9" s="2" t="s">
        <v>47</v>
      </c>
      <c r="X9" s="2" t="s">
        <v>48</v>
      </c>
      <c r="Y9" s="43" t="s">
        <v>49</v>
      </c>
      <c r="Z9" s="2" t="s">
        <v>50</v>
      </c>
      <c r="AA9" s="2" t="s">
        <v>51</v>
      </c>
      <c r="AB9" s="2" t="s">
        <v>52</v>
      </c>
      <c r="AC9" s="2" t="s">
        <v>53</v>
      </c>
      <c r="AD9" s="2" t="s">
        <v>644</v>
      </c>
    </row>
    <row r="10" spans="1:31" ht="10.5" customHeight="1" x14ac:dyDescent="0.25">
      <c r="A10" s="350"/>
      <c r="B10" s="350"/>
      <c r="C10" s="350"/>
      <c r="D10" s="350"/>
      <c r="E10" s="140"/>
      <c r="K10" s="14"/>
      <c r="O10" s="140"/>
      <c r="Y10" s="140"/>
    </row>
    <row r="11" spans="1:31" ht="15.75" customHeight="1" x14ac:dyDescent="0.25">
      <c r="A11" s="171" t="s">
        <v>54</v>
      </c>
      <c r="B11" s="170" t="s">
        <v>55</v>
      </c>
      <c r="C11" s="170" t="s">
        <v>55</v>
      </c>
      <c r="D11" s="170" t="s">
        <v>55</v>
      </c>
      <c r="E11" s="141" t="s">
        <v>193</v>
      </c>
      <c r="F11" s="206" t="s">
        <v>193</v>
      </c>
      <c r="G11" s="206" t="s">
        <v>193</v>
      </c>
      <c r="H11" s="206" t="s">
        <v>193</v>
      </c>
      <c r="I11" s="206" t="s">
        <v>193</v>
      </c>
      <c r="J11" s="206" t="s">
        <v>193</v>
      </c>
      <c r="K11" s="42"/>
      <c r="L11" s="170" t="s">
        <v>55</v>
      </c>
      <c r="M11" s="170" t="s">
        <v>55</v>
      </c>
      <c r="N11" s="170" t="s">
        <v>55</v>
      </c>
      <c r="O11" s="141" t="s">
        <v>193</v>
      </c>
      <c r="P11" s="206" t="s">
        <v>193</v>
      </c>
      <c r="Q11" s="206" t="s">
        <v>194</v>
      </c>
      <c r="R11" s="206" t="s">
        <v>193</v>
      </c>
      <c r="S11" s="206" t="s">
        <v>193</v>
      </c>
      <c r="T11" s="206" t="s">
        <v>193</v>
      </c>
      <c r="U11" s="42"/>
      <c r="V11" s="170" t="s">
        <v>55</v>
      </c>
      <c r="W11" s="170" t="s">
        <v>55</v>
      </c>
      <c r="X11" s="170" t="s">
        <v>55</v>
      </c>
      <c r="Y11" s="141" t="s">
        <v>59</v>
      </c>
      <c r="Z11" s="206" t="s">
        <v>59</v>
      </c>
      <c r="AA11" s="206" t="s">
        <v>59</v>
      </c>
      <c r="AB11" s="206" t="s">
        <v>59</v>
      </c>
      <c r="AC11" s="206" t="s">
        <v>59</v>
      </c>
      <c r="AD11" s="206" t="s">
        <v>59</v>
      </c>
    </row>
    <row r="12" spans="1:31" ht="13.8" x14ac:dyDescent="0.25">
      <c r="A12" s="350"/>
      <c r="B12" s="350"/>
      <c r="C12" s="350"/>
      <c r="D12" s="350"/>
      <c r="E12" s="144"/>
      <c r="K12" s="14"/>
      <c r="O12" s="140"/>
      <c r="Y12" s="140"/>
    </row>
    <row r="13" spans="1:31" ht="15" customHeight="1" x14ac:dyDescent="0.25">
      <c r="A13" s="15" t="s">
        <v>195</v>
      </c>
      <c r="B13" s="46">
        <v>4434</v>
      </c>
      <c r="C13" s="46">
        <v>4564</v>
      </c>
      <c r="D13" s="35">
        <v>4361</v>
      </c>
      <c r="E13" s="151">
        <v>4966</v>
      </c>
      <c r="F13" s="35">
        <v>4784</v>
      </c>
      <c r="G13" s="35">
        <v>4840</v>
      </c>
      <c r="H13" s="108">
        <v>4650</v>
      </c>
      <c r="I13" s="108">
        <v>6070</v>
      </c>
      <c r="J13" s="108" t="s">
        <v>682</v>
      </c>
      <c r="K13" s="35"/>
      <c r="L13" s="35">
        <v>4216</v>
      </c>
      <c r="M13" s="35">
        <v>4350</v>
      </c>
      <c r="N13" s="35">
        <v>4129</v>
      </c>
      <c r="O13" s="151">
        <v>4882</v>
      </c>
      <c r="P13" s="35">
        <v>4714</v>
      </c>
      <c r="Q13" s="35">
        <v>4768</v>
      </c>
      <c r="R13" s="108">
        <v>4601</v>
      </c>
      <c r="S13" s="108">
        <v>5986</v>
      </c>
      <c r="T13" s="108" t="s">
        <v>686</v>
      </c>
      <c r="U13" s="47"/>
      <c r="V13" s="48">
        <v>218</v>
      </c>
      <c r="W13" s="48">
        <v>214</v>
      </c>
      <c r="X13" s="49">
        <v>232</v>
      </c>
      <c r="Y13" s="151">
        <v>84</v>
      </c>
      <c r="Z13" s="35">
        <v>70</v>
      </c>
      <c r="AA13" s="35">
        <v>72</v>
      </c>
      <c r="AB13" s="108">
        <v>49</v>
      </c>
      <c r="AC13" s="108">
        <v>84</v>
      </c>
      <c r="AD13" s="108" t="s">
        <v>690</v>
      </c>
      <c r="AE13" s="38"/>
    </row>
    <row r="14" spans="1:31" ht="15" customHeight="1" x14ac:dyDescent="0.25">
      <c r="A14" s="58" t="s">
        <v>196</v>
      </c>
      <c r="B14" s="50">
        <v>4099</v>
      </c>
      <c r="C14" s="50">
        <v>4323</v>
      </c>
      <c r="D14" s="36">
        <v>4109</v>
      </c>
      <c r="E14" s="152">
        <v>2645</v>
      </c>
      <c r="F14" s="36">
        <v>2693</v>
      </c>
      <c r="G14" s="36">
        <v>2675</v>
      </c>
      <c r="H14" s="215">
        <v>2790</v>
      </c>
      <c r="I14" s="215">
        <v>3517</v>
      </c>
      <c r="J14" s="215"/>
      <c r="K14" s="36"/>
      <c r="L14" s="36">
        <v>3906</v>
      </c>
      <c r="M14" s="36">
        <v>4128</v>
      </c>
      <c r="N14" s="36">
        <v>3905</v>
      </c>
      <c r="O14" s="152">
        <v>2602</v>
      </c>
      <c r="P14" s="36">
        <v>2661</v>
      </c>
      <c r="Q14" s="36">
        <v>2629</v>
      </c>
      <c r="R14" s="215">
        <v>2767</v>
      </c>
      <c r="S14" s="215">
        <v>3463</v>
      </c>
      <c r="T14" s="215"/>
      <c r="U14" s="47"/>
      <c r="V14" s="51">
        <v>193</v>
      </c>
      <c r="W14" s="51">
        <v>195</v>
      </c>
      <c r="X14" s="52">
        <v>204</v>
      </c>
      <c r="Y14" s="152">
        <v>43</v>
      </c>
      <c r="Z14" s="36">
        <v>32</v>
      </c>
      <c r="AA14" s="36">
        <v>46</v>
      </c>
      <c r="AB14" s="215">
        <v>23</v>
      </c>
      <c r="AC14" s="215">
        <v>54</v>
      </c>
      <c r="AD14" s="215"/>
      <c r="AE14" s="38"/>
    </row>
    <row r="15" spans="1:31" ht="15" customHeight="1" x14ac:dyDescent="0.25">
      <c r="A15" s="58" t="s">
        <v>197</v>
      </c>
      <c r="B15" s="50">
        <v>176</v>
      </c>
      <c r="C15" s="50">
        <v>178</v>
      </c>
      <c r="D15" s="36">
        <v>171</v>
      </c>
      <c r="E15" s="152">
        <v>113</v>
      </c>
      <c r="F15" s="36">
        <v>123</v>
      </c>
      <c r="G15" s="36">
        <v>144</v>
      </c>
      <c r="H15" s="215">
        <v>107</v>
      </c>
      <c r="I15" s="215">
        <v>115</v>
      </c>
      <c r="J15" s="215"/>
      <c r="K15" s="36"/>
      <c r="L15" s="36">
        <v>153</v>
      </c>
      <c r="M15" s="36">
        <v>162</v>
      </c>
      <c r="N15" s="36">
        <v>145</v>
      </c>
      <c r="O15" s="152">
        <v>108</v>
      </c>
      <c r="P15" s="36">
        <v>122</v>
      </c>
      <c r="Q15" s="36">
        <v>142</v>
      </c>
      <c r="R15" s="215">
        <v>103</v>
      </c>
      <c r="S15" s="215">
        <v>110</v>
      </c>
      <c r="T15" s="215"/>
      <c r="U15" s="47"/>
      <c r="V15" s="51">
        <v>23</v>
      </c>
      <c r="W15" s="51">
        <v>16</v>
      </c>
      <c r="X15" s="52">
        <v>26</v>
      </c>
      <c r="Y15" s="152">
        <v>5</v>
      </c>
      <c r="Z15" s="36">
        <v>1</v>
      </c>
      <c r="AA15" s="36">
        <v>2</v>
      </c>
      <c r="AB15" s="215">
        <v>4</v>
      </c>
      <c r="AC15" s="215">
        <v>5</v>
      </c>
      <c r="AD15" s="215"/>
      <c r="AE15" s="38"/>
    </row>
    <row r="16" spans="1:31" ht="15" customHeight="1" x14ac:dyDescent="0.25">
      <c r="A16" s="58" t="s">
        <v>198</v>
      </c>
      <c r="B16" s="50">
        <v>8</v>
      </c>
      <c r="C16" s="50">
        <v>6</v>
      </c>
      <c r="D16" s="36">
        <v>8</v>
      </c>
      <c r="E16" s="152">
        <v>4</v>
      </c>
      <c r="F16" s="36">
        <v>7</v>
      </c>
      <c r="G16" s="36">
        <v>5</v>
      </c>
      <c r="H16" s="215">
        <v>7</v>
      </c>
      <c r="I16" s="215">
        <v>14</v>
      </c>
      <c r="J16" s="215"/>
      <c r="K16" s="36"/>
      <c r="L16" s="36">
        <v>8</v>
      </c>
      <c r="M16" s="36">
        <v>4</v>
      </c>
      <c r="N16" s="36">
        <v>6</v>
      </c>
      <c r="O16" s="152">
        <v>4</v>
      </c>
      <c r="P16" s="36">
        <v>7</v>
      </c>
      <c r="Q16" s="36">
        <v>5</v>
      </c>
      <c r="R16" s="215">
        <v>6</v>
      </c>
      <c r="S16" s="215">
        <v>13</v>
      </c>
      <c r="T16" s="215"/>
      <c r="U16" s="47"/>
      <c r="V16" s="51" t="s">
        <v>75</v>
      </c>
      <c r="W16" s="51">
        <v>2</v>
      </c>
      <c r="X16" s="52">
        <v>2</v>
      </c>
      <c r="Y16" s="152">
        <v>0</v>
      </c>
      <c r="Z16" s="36">
        <v>0</v>
      </c>
      <c r="AA16" s="36">
        <v>0</v>
      </c>
      <c r="AB16" s="215">
        <v>1</v>
      </c>
      <c r="AC16" s="215">
        <v>1</v>
      </c>
      <c r="AD16" s="215"/>
      <c r="AE16" s="38"/>
    </row>
    <row r="17" spans="1:31" ht="15" customHeight="1" x14ac:dyDescent="0.25">
      <c r="A17" s="58" t="s">
        <v>199</v>
      </c>
      <c r="B17" s="50" t="s">
        <v>75</v>
      </c>
      <c r="C17" s="50">
        <v>1</v>
      </c>
      <c r="D17" s="36">
        <v>2</v>
      </c>
      <c r="E17" s="152">
        <v>62</v>
      </c>
      <c r="F17" s="36">
        <v>55</v>
      </c>
      <c r="G17" s="36">
        <v>2</v>
      </c>
      <c r="H17" s="215">
        <v>2</v>
      </c>
      <c r="I17" s="215">
        <v>8</v>
      </c>
      <c r="J17" s="215"/>
      <c r="K17" s="36"/>
      <c r="L17" s="70" t="s">
        <v>75</v>
      </c>
      <c r="M17" s="36">
        <v>1</v>
      </c>
      <c r="N17" s="36">
        <v>2</v>
      </c>
      <c r="O17" s="152">
        <v>62</v>
      </c>
      <c r="P17" s="36">
        <v>55</v>
      </c>
      <c r="Q17" s="36">
        <v>2</v>
      </c>
      <c r="R17" s="215">
        <v>2</v>
      </c>
      <c r="S17" s="215">
        <v>8</v>
      </c>
      <c r="T17" s="215"/>
      <c r="U17" s="47"/>
      <c r="V17" s="51" t="s">
        <v>75</v>
      </c>
      <c r="W17" s="51" t="s">
        <v>75</v>
      </c>
      <c r="X17" s="51" t="s">
        <v>75</v>
      </c>
      <c r="Y17" s="152">
        <v>0</v>
      </c>
      <c r="Z17" s="36">
        <v>0</v>
      </c>
      <c r="AA17" s="36">
        <v>0</v>
      </c>
      <c r="AB17" s="215">
        <v>0</v>
      </c>
      <c r="AC17" s="215">
        <v>0</v>
      </c>
      <c r="AD17" s="215"/>
      <c r="AE17" s="38"/>
    </row>
    <row r="18" spans="1:31" ht="15" customHeight="1" x14ac:dyDescent="0.25">
      <c r="A18" s="27" t="s">
        <v>200</v>
      </c>
      <c r="B18" s="50" t="s">
        <v>75</v>
      </c>
      <c r="C18" s="50" t="s">
        <v>75</v>
      </c>
      <c r="D18" s="50" t="s">
        <v>75</v>
      </c>
      <c r="E18" s="152">
        <v>1374</v>
      </c>
      <c r="F18" s="36">
        <v>1060</v>
      </c>
      <c r="G18" s="36">
        <v>1189</v>
      </c>
      <c r="H18" s="215">
        <v>997</v>
      </c>
      <c r="I18" s="215">
        <v>1093</v>
      </c>
      <c r="J18" s="215"/>
      <c r="K18" s="36"/>
      <c r="L18" s="70" t="s">
        <v>75</v>
      </c>
      <c r="M18" s="70" t="s">
        <v>75</v>
      </c>
      <c r="N18" s="70" t="s">
        <v>75</v>
      </c>
      <c r="O18" s="152">
        <v>1351</v>
      </c>
      <c r="P18" s="36">
        <v>1048</v>
      </c>
      <c r="Q18" s="36">
        <v>1185</v>
      </c>
      <c r="R18" s="215">
        <v>997</v>
      </c>
      <c r="S18" s="215">
        <v>1091</v>
      </c>
      <c r="T18" s="215"/>
      <c r="U18" s="47"/>
      <c r="V18" s="51" t="s">
        <v>75</v>
      </c>
      <c r="W18" s="51" t="s">
        <v>75</v>
      </c>
      <c r="X18" s="51" t="s">
        <v>75</v>
      </c>
      <c r="Y18" s="152">
        <v>23</v>
      </c>
      <c r="Z18" s="36">
        <v>12</v>
      </c>
      <c r="AA18" s="36">
        <v>4</v>
      </c>
      <c r="AB18" s="215">
        <v>0</v>
      </c>
      <c r="AC18" s="215">
        <v>2</v>
      </c>
      <c r="AD18" s="215"/>
      <c r="AE18" s="38"/>
    </row>
    <row r="19" spans="1:31" ht="15" customHeight="1" x14ac:dyDescent="0.25">
      <c r="A19" s="27" t="s">
        <v>201</v>
      </c>
      <c r="B19" s="50">
        <v>151</v>
      </c>
      <c r="C19" s="50">
        <v>56</v>
      </c>
      <c r="D19" s="36">
        <v>71</v>
      </c>
      <c r="E19" s="152">
        <v>768</v>
      </c>
      <c r="F19" s="36">
        <v>846</v>
      </c>
      <c r="G19" s="36">
        <v>825</v>
      </c>
      <c r="H19" s="215">
        <v>747</v>
      </c>
      <c r="I19" s="215">
        <v>1323</v>
      </c>
      <c r="J19" s="215"/>
      <c r="K19" s="36"/>
      <c r="L19" s="36">
        <v>149</v>
      </c>
      <c r="M19" s="36">
        <v>55</v>
      </c>
      <c r="N19" s="36">
        <v>71</v>
      </c>
      <c r="O19" s="152">
        <v>755</v>
      </c>
      <c r="P19" s="36">
        <v>821</v>
      </c>
      <c r="Q19" s="36">
        <v>805</v>
      </c>
      <c r="R19" s="215">
        <v>726</v>
      </c>
      <c r="S19" s="215">
        <v>1301</v>
      </c>
      <c r="T19" s="215"/>
      <c r="U19" s="47"/>
      <c r="V19" s="51">
        <v>2</v>
      </c>
      <c r="W19" s="51">
        <v>1</v>
      </c>
      <c r="X19" s="51" t="s">
        <v>75</v>
      </c>
      <c r="Y19" s="152">
        <v>13</v>
      </c>
      <c r="Z19" s="36">
        <v>25</v>
      </c>
      <c r="AA19" s="36">
        <v>20</v>
      </c>
      <c r="AB19" s="215">
        <v>21</v>
      </c>
      <c r="AC19" s="215">
        <v>22</v>
      </c>
      <c r="AD19" s="215"/>
      <c r="AE19" s="38"/>
    </row>
    <row r="20" spans="1:31" ht="15" customHeight="1" x14ac:dyDescent="0.25">
      <c r="A20" s="16"/>
      <c r="B20" s="50"/>
      <c r="C20" s="50"/>
      <c r="D20" s="38"/>
      <c r="E20" s="153"/>
      <c r="F20" s="38"/>
      <c r="G20" s="38"/>
      <c r="H20" s="108"/>
      <c r="I20" s="108"/>
      <c r="J20" s="108"/>
      <c r="K20" s="38"/>
      <c r="L20" s="38"/>
      <c r="M20" s="38"/>
      <c r="N20" s="38"/>
      <c r="O20" s="153"/>
      <c r="P20" s="38"/>
      <c r="Q20" s="38"/>
      <c r="R20" s="38"/>
      <c r="S20" s="38"/>
      <c r="T20" s="38"/>
      <c r="U20" s="47"/>
      <c r="V20" s="51"/>
      <c r="W20" s="51"/>
      <c r="X20" s="38"/>
      <c r="Y20" s="153"/>
      <c r="Z20" s="38"/>
      <c r="AA20" s="38"/>
      <c r="AB20" s="38"/>
      <c r="AC20" s="38"/>
      <c r="AD20" s="38"/>
      <c r="AE20" s="38"/>
    </row>
    <row r="21" spans="1:31" ht="15" customHeight="1" x14ac:dyDescent="0.25">
      <c r="A21" s="15" t="s">
        <v>202</v>
      </c>
      <c r="B21" s="46">
        <v>2316</v>
      </c>
      <c r="C21" s="46">
        <v>2369</v>
      </c>
      <c r="D21" s="35">
        <v>2294</v>
      </c>
      <c r="E21" s="151">
        <v>500</v>
      </c>
      <c r="F21" s="35">
        <v>519</v>
      </c>
      <c r="G21" s="35">
        <v>482</v>
      </c>
      <c r="H21" s="108">
        <v>514</v>
      </c>
      <c r="I21" s="108">
        <v>621</v>
      </c>
      <c r="J21" s="108" t="s">
        <v>683</v>
      </c>
      <c r="K21" s="35"/>
      <c r="L21" s="35">
        <v>2239</v>
      </c>
      <c r="M21" s="35">
        <v>2303</v>
      </c>
      <c r="N21" s="35">
        <v>2240</v>
      </c>
      <c r="O21" s="151">
        <v>483</v>
      </c>
      <c r="P21" s="35">
        <v>514</v>
      </c>
      <c r="Q21" s="35">
        <v>476</v>
      </c>
      <c r="R21" s="108">
        <v>505</v>
      </c>
      <c r="S21" s="108">
        <v>614</v>
      </c>
      <c r="T21" s="108" t="s">
        <v>687</v>
      </c>
      <c r="U21" s="53"/>
      <c r="V21" s="48">
        <v>77</v>
      </c>
      <c r="W21" s="48">
        <v>66</v>
      </c>
      <c r="X21" s="49">
        <v>54</v>
      </c>
      <c r="Y21" s="151">
        <v>17</v>
      </c>
      <c r="Z21" s="35">
        <v>5</v>
      </c>
      <c r="AA21" s="35">
        <v>6</v>
      </c>
      <c r="AB21" s="108">
        <v>9</v>
      </c>
      <c r="AC21" s="108">
        <v>7</v>
      </c>
      <c r="AD21" s="108" t="s">
        <v>691</v>
      </c>
      <c r="AE21" s="38"/>
    </row>
    <row r="22" spans="1:31" ht="15" customHeight="1" x14ac:dyDescent="0.25">
      <c r="A22" s="15"/>
      <c r="B22" s="46"/>
      <c r="C22" s="46"/>
      <c r="D22" s="35"/>
      <c r="E22" s="151"/>
      <c r="F22" s="35"/>
      <c r="G22" s="35"/>
      <c r="H22" s="108"/>
      <c r="I22" s="108"/>
      <c r="J22" s="108"/>
      <c r="K22" s="35"/>
      <c r="L22" s="35"/>
      <c r="M22" s="35"/>
      <c r="N22" s="35"/>
      <c r="O22" s="151"/>
      <c r="P22" s="35"/>
      <c r="Q22" s="35"/>
      <c r="R22" s="35"/>
      <c r="S22" s="35"/>
      <c r="T22" s="35"/>
      <c r="U22" s="53"/>
      <c r="V22" s="48"/>
      <c r="W22" s="48"/>
      <c r="X22" s="49"/>
      <c r="Y22" s="151"/>
      <c r="Z22" s="35"/>
      <c r="AA22" s="35"/>
      <c r="AB22" s="35"/>
      <c r="AC22" s="35"/>
      <c r="AD22" s="35"/>
      <c r="AE22" s="38"/>
    </row>
    <row r="23" spans="1:31" ht="15" customHeight="1" x14ac:dyDescent="0.25">
      <c r="A23" s="15" t="s">
        <v>203</v>
      </c>
      <c r="B23" s="46">
        <v>1401</v>
      </c>
      <c r="C23" s="46">
        <v>1427</v>
      </c>
      <c r="D23" s="35">
        <v>1557</v>
      </c>
      <c r="E23" s="151">
        <v>524</v>
      </c>
      <c r="F23" s="35">
        <v>444</v>
      </c>
      <c r="G23" s="35">
        <v>437</v>
      </c>
      <c r="H23" s="108">
        <v>434</v>
      </c>
      <c r="I23" s="108">
        <v>555</v>
      </c>
      <c r="J23" s="108" t="s">
        <v>684</v>
      </c>
      <c r="K23" s="35"/>
      <c r="L23" s="35">
        <v>1349</v>
      </c>
      <c r="M23" s="35">
        <v>1376</v>
      </c>
      <c r="N23" s="35">
        <v>1518</v>
      </c>
      <c r="O23" s="151">
        <v>514</v>
      </c>
      <c r="P23" s="35">
        <v>441</v>
      </c>
      <c r="Q23" s="35">
        <v>430</v>
      </c>
      <c r="R23" s="108">
        <v>428</v>
      </c>
      <c r="S23" s="108">
        <v>545</v>
      </c>
      <c r="T23" s="108" t="s">
        <v>688</v>
      </c>
      <c r="U23" s="53"/>
      <c r="V23" s="48">
        <v>52</v>
      </c>
      <c r="W23" s="48">
        <v>51</v>
      </c>
      <c r="X23" s="49">
        <v>39</v>
      </c>
      <c r="Y23" s="151">
        <v>10</v>
      </c>
      <c r="Z23" s="35">
        <v>3</v>
      </c>
      <c r="AA23" s="35">
        <v>7</v>
      </c>
      <c r="AB23" s="108">
        <v>6</v>
      </c>
      <c r="AC23" s="108">
        <v>10</v>
      </c>
      <c r="AD23" s="108" t="s">
        <v>692</v>
      </c>
      <c r="AE23" s="38"/>
    </row>
    <row r="24" spans="1:31" ht="15" customHeight="1" x14ac:dyDescent="0.25">
      <c r="A24" s="15"/>
      <c r="B24" s="46"/>
      <c r="C24" s="46"/>
      <c r="D24" s="35"/>
      <c r="E24" s="151"/>
      <c r="F24" s="35"/>
      <c r="G24" s="35"/>
      <c r="H24" s="108"/>
      <c r="I24" s="108"/>
      <c r="J24" s="108"/>
      <c r="K24" s="35"/>
      <c r="L24" s="35"/>
      <c r="M24" s="35"/>
      <c r="N24" s="35"/>
      <c r="O24" s="151"/>
      <c r="P24" s="35"/>
      <c r="Q24" s="35"/>
      <c r="R24" s="35"/>
      <c r="S24" s="35"/>
      <c r="T24" s="35"/>
      <c r="U24" s="53"/>
      <c r="V24" s="48"/>
      <c r="W24" s="48"/>
      <c r="X24" s="49"/>
      <c r="Y24" s="151"/>
      <c r="Z24" s="35"/>
      <c r="AA24" s="35"/>
      <c r="AB24" s="35"/>
      <c r="AC24" s="35"/>
      <c r="AD24" s="35"/>
      <c r="AE24" s="38"/>
    </row>
    <row r="25" spans="1:31" ht="15" customHeight="1" x14ac:dyDescent="0.25">
      <c r="A25" s="15" t="s">
        <v>204</v>
      </c>
      <c r="B25" s="46">
        <v>2230</v>
      </c>
      <c r="C25" s="46">
        <v>2491</v>
      </c>
      <c r="D25" s="35">
        <v>2575</v>
      </c>
      <c r="E25" s="151">
        <v>1085</v>
      </c>
      <c r="F25" s="35">
        <v>1149</v>
      </c>
      <c r="G25" s="35">
        <v>1248</v>
      </c>
      <c r="H25" s="108">
        <v>1035</v>
      </c>
      <c r="I25" s="108">
        <v>1582</v>
      </c>
      <c r="J25" s="108" t="s">
        <v>685</v>
      </c>
      <c r="K25" s="35"/>
      <c r="L25" s="35">
        <v>2200</v>
      </c>
      <c r="M25" s="35">
        <v>2458</v>
      </c>
      <c r="N25" s="35">
        <v>2530</v>
      </c>
      <c r="O25" s="151">
        <v>1079</v>
      </c>
      <c r="P25" s="35">
        <v>1147</v>
      </c>
      <c r="Q25" s="35">
        <v>1247</v>
      </c>
      <c r="R25" s="108">
        <v>1035</v>
      </c>
      <c r="S25" s="108">
        <v>1577</v>
      </c>
      <c r="T25" s="108" t="s">
        <v>689</v>
      </c>
      <c r="U25" s="53"/>
      <c r="V25" s="48">
        <v>30</v>
      </c>
      <c r="W25" s="48">
        <v>33</v>
      </c>
      <c r="X25" s="49">
        <v>45</v>
      </c>
      <c r="Y25" s="151">
        <v>6</v>
      </c>
      <c r="Z25" s="35">
        <v>2</v>
      </c>
      <c r="AA25" s="35">
        <v>1</v>
      </c>
      <c r="AB25" s="108">
        <v>0</v>
      </c>
      <c r="AC25" s="108">
        <v>5</v>
      </c>
      <c r="AD25" s="108" t="s">
        <v>693</v>
      </c>
      <c r="AE25" s="38"/>
    </row>
    <row r="26" spans="1:31" ht="13.8" thickBot="1" x14ac:dyDescent="0.3">
      <c r="A26" s="82"/>
      <c r="B26" s="82"/>
      <c r="C26" s="82"/>
      <c r="D26" s="82"/>
      <c r="E26" s="154"/>
      <c r="F26" s="82"/>
      <c r="G26" s="82"/>
      <c r="H26" s="82"/>
      <c r="I26" s="82"/>
      <c r="J26" s="82"/>
      <c r="K26" s="82"/>
      <c r="L26" s="82"/>
      <c r="M26" s="82"/>
      <c r="N26" s="82"/>
      <c r="O26" s="154"/>
      <c r="P26" s="82"/>
      <c r="Q26" s="82"/>
      <c r="R26" s="82"/>
      <c r="S26" s="82"/>
      <c r="T26" s="82"/>
      <c r="U26" s="82"/>
      <c r="V26" s="82"/>
      <c r="W26" s="82"/>
      <c r="X26" s="82"/>
      <c r="Y26" s="154"/>
      <c r="Z26" s="82"/>
      <c r="AA26" s="82"/>
      <c r="AB26" s="82"/>
      <c r="AC26" s="82"/>
      <c r="AD26" s="82"/>
    </row>
    <row r="27" spans="1:31" ht="15" customHeight="1" x14ac:dyDescent="0.25">
      <c r="A27" s="8"/>
      <c r="B27" s="352"/>
      <c r="C27" s="352"/>
      <c r="D27" s="352"/>
      <c r="E27" s="352"/>
      <c r="F27" s="352"/>
      <c r="G27" s="352"/>
      <c r="H27" s="352"/>
      <c r="I27" s="352"/>
      <c r="J27" s="352"/>
    </row>
    <row r="28" spans="1:31" ht="12.75" customHeight="1" x14ac:dyDescent="0.25">
      <c r="A28" s="673" t="s">
        <v>819</v>
      </c>
      <c r="B28" s="673"/>
      <c r="C28" s="673"/>
      <c r="D28" s="673"/>
      <c r="E28" s="673"/>
      <c r="F28" s="673"/>
      <c r="G28" s="673"/>
      <c r="H28" s="673"/>
      <c r="I28" s="348"/>
      <c r="J28" s="348"/>
    </row>
    <row r="29" spans="1:31" x14ac:dyDescent="0.25">
      <c r="A29" s="348"/>
      <c r="B29" s="348"/>
      <c r="C29" s="348"/>
      <c r="D29" s="348"/>
      <c r="E29" s="348"/>
      <c r="F29" s="348"/>
      <c r="G29" s="348"/>
      <c r="H29" s="24"/>
      <c r="I29" s="24"/>
      <c r="J29" s="24"/>
    </row>
    <row r="30" spans="1:31" ht="94.95" customHeight="1" x14ac:dyDescent="0.25">
      <c r="A30" s="673" t="s">
        <v>844</v>
      </c>
      <c r="B30" s="673"/>
      <c r="C30" s="673"/>
      <c r="D30" s="673"/>
      <c r="E30" s="673"/>
      <c r="F30" s="673"/>
      <c r="G30" s="673"/>
      <c r="H30" s="673"/>
      <c r="I30" s="673"/>
      <c r="J30" s="673"/>
      <c r="K30" s="673"/>
      <c r="L30" s="673"/>
      <c r="M30" s="673"/>
      <c r="N30" s="673"/>
      <c r="O30" s="673"/>
      <c r="P30" s="673"/>
      <c r="Q30" s="673"/>
      <c r="R30" s="673"/>
      <c r="S30" s="673"/>
      <c r="T30" s="673"/>
      <c r="U30" s="673"/>
      <c r="V30" s="673"/>
      <c r="W30" s="673"/>
      <c r="X30" s="673"/>
      <c r="Y30" s="673"/>
      <c r="Z30" s="673"/>
      <c r="AA30" s="673"/>
      <c r="AB30" s="673"/>
      <c r="AC30" s="348"/>
      <c r="AD30" s="348"/>
    </row>
    <row r="31" spans="1:31" x14ac:dyDescent="0.25">
      <c r="A31" s="352"/>
    </row>
    <row r="32" spans="1:31" ht="15.75" customHeight="1" x14ac:dyDescent="0.25">
      <c r="A32" s="674" t="s">
        <v>93</v>
      </c>
      <c r="B32" s="674"/>
      <c r="C32" s="699"/>
      <c r="D32" s="699"/>
      <c r="E32" s="699"/>
      <c r="F32" s="699"/>
      <c r="G32" s="699"/>
      <c r="H32" s="699"/>
      <c r="I32" s="699"/>
      <c r="J32" s="699"/>
      <c r="K32" s="699"/>
      <c r="L32" s="699"/>
      <c r="M32" s="699"/>
      <c r="N32" s="699"/>
      <c r="O32" s="699"/>
      <c r="P32" s="699"/>
      <c r="Q32" s="699"/>
      <c r="R32" s="699"/>
      <c r="S32" s="699"/>
      <c r="T32" s="699"/>
      <c r="U32" s="699"/>
      <c r="V32" s="699"/>
      <c r="W32" s="699"/>
    </row>
    <row r="33" spans="1:21" ht="28.5" customHeight="1" x14ac:dyDescent="0.25">
      <c r="A33" s="673" t="s">
        <v>94</v>
      </c>
      <c r="B33" s="673"/>
      <c r="C33" s="673"/>
      <c r="D33" s="673"/>
      <c r="E33" s="673"/>
      <c r="F33" s="673"/>
      <c r="G33" s="673"/>
      <c r="H33" s="673"/>
      <c r="I33" s="673"/>
      <c r="J33" s="673"/>
      <c r="K33" s="673"/>
      <c r="L33" s="673"/>
      <c r="M33" s="673"/>
      <c r="N33" s="673"/>
      <c r="O33" s="673"/>
      <c r="P33" s="673"/>
      <c r="Q33" s="673"/>
      <c r="R33" s="673"/>
      <c r="S33" s="673"/>
      <c r="T33" s="673"/>
      <c r="U33" s="673"/>
    </row>
  </sheetData>
  <mergeCells count="9">
    <mergeCell ref="A5:V5"/>
    <mergeCell ref="A33:U33"/>
    <mergeCell ref="A32:W32"/>
    <mergeCell ref="A6:M6"/>
    <mergeCell ref="A30:AB30"/>
    <mergeCell ref="A28:H28"/>
    <mergeCell ref="B8:I8"/>
    <mergeCell ref="L8:S8"/>
    <mergeCell ref="V8:AD8"/>
  </mergeCells>
  <pageMargins left="0.25" right="0.25" top="0.75" bottom="0.75" header="0.3" footer="0.3"/>
  <pageSetup paperSize="9" scale="42"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8"/>
  <sheetViews>
    <sheetView workbookViewId="0"/>
  </sheetViews>
  <sheetFormatPr defaultRowHeight="13.2" x14ac:dyDescent="0.25"/>
  <cols>
    <col min="1" max="1" width="53.69921875" style="1" customWidth="1"/>
    <col min="2" max="2" width="17.296875" style="1" customWidth="1"/>
    <col min="3" max="3" width="15.296875" style="1" customWidth="1"/>
    <col min="4" max="4" width="13" style="1" customWidth="1"/>
    <col min="5" max="5" width="12.796875" style="1" customWidth="1"/>
    <col min="6" max="6" width="14.59765625" style="1" customWidth="1"/>
    <col min="7" max="7" width="10.796875" style="1" customWidth="1"/>
    <col min="8" max="69" width="9" style="1"/>
    <col min="70" max="70" width="1.19921875" style="1" customWidth="1"/>
    <col min="71" max="71" width="53.69921875" style="1" customWidth="1"/>
    <col min="72" max="76" width="10.59765625" style="1" customWidth="1"/>
    <col min="77" max="77" width="9.296875" style="1" customWidth="1"/>
    <col min="78" max="78" width="8.296875" style="1" customWidth="1"/>
    <col min="79" max="79" width="10.59765625" style="1" customWidth="1"/>
    <col min="80" max="80" width="41.59765625" style="1" customWidth="1"/>
    <col min="81" max="325" width="9" style="1"/>
    <col min="326" max="326" width="1.19921875" style="1" customWidth="1"/>
    <col min="327" max="327" width="53.69921875" style="1" customWidth="1"/>
    <col min="328" max="332" width="10.59765625" style="1" customWidth="1"/>
    <col min="333" max="333" width="9.296875" style="1" customWidth="1"/>
    <col min="334" max="334" width="8.296875" style="1" customWidth="1"/>
    <col min="335" max="335" width="10.59765625" style="1" customWidth="1"/>
    <col min="336" max="336" width="41.59765625" style="1" customWidth="1"/>
    <col min="337" max="581" width="9" style="1"/>
    <col min="582" max="582" width="1.19921875" style="1" customWidth="1"/>
    <col min="583" max="583" width="53.69921875" style="1" customWidth="1"/>
    <col min="584" max="588" width="10.59765625" style="1" customWidth="1"/>
    <col min="589" max="589" width="9.296875" style="1" customWidth="1"/>
    <col min="590" max="590" width="8.296875" style="1" customWidth="1"/>
    <col min="591" max="591" width="10.59765625" style="1" customWidth="1"/>
    <col min="592" max="592" width="41.59765625" style="1" customWidth="1"/>
    <col min="593" max="837" width="9" style="1"/>
    <col min="838" max="838" width="1.19921875" style="1" customWidth="1"/>
    <col min="839" max="839" width="53.69921875" style="1" customWidth="1"/>
    <col min="840" max="844" width="10.59765625" style="1" customWidth="1"/>
    <col min="845" max="845" width="9.296875" style="1" customWidth="1"/>
    <col min="846" max="846" width="8.296875" style="1" customWidth="1"/>
    <col min="847" max="847" width="10.59765625" style="1" customWidth="1"/>
    <col min="848" max="848" width="41.59765625" style="1" customWidth="1"/>
    <col min="849" max="1093" width="9" style="1"/>
    <col min="1094" max="1094" width="1.19921875" style="1" customWidth="1"/>
    <col min="1095" max="1095" width="53.69921875" style="1" customWidth="1"/>
    <col min="1096" max="1100" width="10.59765625" style="1" customWidth="1"/>
    <col min="1101" max="1101" width="9.296875" style="1" customWidth="1"/>
    <col min="1102" max="1102" width="8.296875" style="1" customWidth="1"/>
    <col min="1103" max="1103" width="10.59765625" style="1" customWidth="1"/>
    <col min="1104" max="1104" width="41.59765625" style="1" customWidth="1"/>
    <col min="1105" max="1349" width="9" style="1"/>
    <col min="1350" max="1350" width="1.19921875" style="1" customWidth="1"/>
    <col min="1351" max="1351" width="53.69921875" style="1" customWidth="1"/>
    <col min="1352" max="1356" width="10.59765625" style="1" customWidth="1"/>
    <col min="1357" max="1357" width="9.296875" style="1" customWidth="1"/>
    <col min="1358" max="1358" width="8.296875" style="1" customWidth="1"/>
    <col min="1359" max="1359" width="10.59765625" style="1" customWidth="1"/>
    <col min="1360" max="1360" width="41.59765625" style="1" customWidth="1"/>
    <col min="1361" max="1605" width="9" style="1"/>
    <col min="1606" max="1606" width="1.19921875" style="1" customWidth="1"/>
    <col min="1607" max="1607" width="53.69921875" style="1" customWidth="1"/>
    <col min="1608" max="1612" width="10.59765625" style="1" customWidth="1"/>
    <col min="1613" max="1613" width="9.296875" style="1" customWidth="1"/>
    <col min="1614" max="1614" width="8.296875" style="1" customWidth="1"/>
    <col min="1615" max="1615" width="10.59765625" style="1" customWidth="1"/>
    <col min="1616" max="1616" width="41.59765625" style="1" customWidth="1"/>
    <col min="1617" max="1861" width="9" style="1"/>
    <col min="1862" max="1862" width="1.19921875" style="1" customWidth="1"/>
    <col min="1863" max="1863" width="53.69921875" style="1" customWidth="1"/>
    <col min="1864" max="1868" width="10.59765625" style="1" customWidth="1"/>
    <col min="1869" max="1869" width="9.296875" style="1" customWidth="1"/>
    <col min="1870" max="1870" width="8.296875" style="1" customWidth="1"/>
    <col min="1871" max="1871" width="10.59765625" style="1" customWidth="1"/>
    <col min="1872" max="1872" width="41.59765625" style="1" customWidth="1"/>
    <col min="1873" max="2117" width="9" style="1"/>
    <col min="2118" max="2118" width="1.19921875" style="1" customWidth="1"/>
    <col min="2119" max="2119" width="53.69921875" style="1" customWidth="1"/>
    <col min="2120" max="2124" width="10.59765625" style="1" customWidth="1"/>
    <col min="2125" max="2125" width="9.296875" style="1" customWidth="1"/>
    <col min="2126" max="2126" width="8.296875" style="1" customWidth="1"/>
    <col min="2127" max="2127" width="10.59765625" style="1" customWidth="1"/>
    <col min="2128" max="2128" width="41.59765625" style="1" customWidth="1"/>
    <col min="2129" max="2373" width="9" style="1"/>
    <col min="2374" max="2374" width="1.19921875" style="1" customWidth="1"/>
    <col min="2375" max="2375" width="53.69921875" style="1" customWidth="1"/>
    <col min="2376" max="2380" width="10.59765625" style="1" customWidth="1"/>
    <col min="2381" max="2381" width="9.296875" style="1" customWidth="1"/>
    <col min="2382" max="2382" width="8.296875" style="1" customWidth="1"/>
    <col min="2383" max="2383" width="10.59765625" style="1" customWidth="1"/>
    <col min="2384" max="2384" width="41.59765625" style="1" customWidth="1"/>
    <col min="2385" max="2629" width="9" style="1"/>
    <col min="2630" max="2630" width="1.19921875" style="1" customWidth="1"/>
    <col min="2631" max="2631" width="53.69921875" style="1" customWidth="1"/>
    <col min="2632" max="2636" width="10.59765625" style="1" customWidth="1"/>
    <col min="2637" max="2637" width="9.296875" style="1" customWidth="1"/>
    <col min="2638" max="2638" width="8.296875" style="1" customWidth="1"/>
    <col min="2639" max="2639" width="10.59765625" style="1" customWidth="1"/>
    <col min="2640" max="2640" width="41.59765625" style="1" customWidth="1"/>
    <col min="2641" max="2885" width="9" style="1"/>
    <col min="2886" max="2886" width="1.19921875" style="1" customWidth="1"/>
    <col min="2887" max="2887" width="53.69921875" style="1" customWidth="1"/>
    <col min="2888" max="2892" width="10.59765625" style="1" customWidth="1"/>
    <col min="2893" max="2893" width="9.296875" style="1" customWidth="1"/>
    <col min="2894" max="2894" width="8.296875" style="1" customWidth="1"/>
    <col min="2895" max="2895" width="10.59765625" style="1" customWidth="1"/>
    <col min="2896" max="2896" width="41.59765625" style="1" customWidth="1"/>
    <col min="2897" max="3141" width="9" style="1"/>
    <col min="3142" max="3142" width="1.19921875" style="1" customWidth="1"/>
    <col min="3143" max="3143" width="53.69921875" style="1" customWidth="1"/>
    <col min="3144" max="3148" width="10.59765625" style="1" customWidth="1"/>
    <col min="3149" max="3149" width="9.296875" style="1" customWidth="1"/>
    <col min="3150" max="3150" width="8.296875" style="1" customWidth="1"/>
    <col min="3151" max="3151" width="10.59765625" style="1" customWidth="1"/>
    <col min="3152" max="3152" width="41.59765625" style="1" customWidth="1"/>
    <col min="3153" max="3397" width="9" style="1"/>
    <col min="3398" max="3398" width="1.19921875" style="1" customWidth="1"/>
    <col min="3399" max="3399" width="53.69921875" style="1" customWidth="1"/>
    <col min="3400" max="3404" width="10.59765625" style="1" customWidth="1"/>
    <col min="3405" max="3405" width="9.296875" style="1" customWidth="1"/>
    <col min="3406" max="3406" width="8.296875" style="1" customWidth="1"/>
    <col min="3407" max="3407" width="10.59765625" style="1" customWidth="1"/>
    <col min="3408" max="3408" width="41.59765625" style="1" customWidth="1"/>
    <col min="3409" max="3653" width="9" style="1"/>
    <col min="3654" max="3654" width="1.19921875" style="1" customWidth="1"/>
    <col min="3655" max="3655" width="53.69921875" style="1" customWidth="1"/>
    <col min="3656" max="3660" width="10.59765625" style="1" customWidth="1"/>
    <col min="3661" max="3661" width="9.296875" style="1" customWidth="1"/>
    <col min="3662" max="3662" width="8.296875" style="1" customWidth="1"/>
    <col min="3663" max="3663" width="10.59765625" style="1" customWidth="1"/>
    <col min="3664" max="3664" width="41.59765625" style="1" customWidth="1"/>
    <col min="3665" max="3909" width="9" style="1"/>
    <col min="3910" max="3910" width="1.19921875" style="1" customWidth="1"/>
    <col min="3911" max="3911" width="53.69921875" style="1" customWidth="1"/>
    <col min="3912" max="3916" width="10.59765625" style="1" customWidth="1"/>
    <col min="3917" max="3917" width="9.296875" style="1" customWidth="1"/>
    <col min="3918" max="3918" width="8.296875" style="1" customWidth="1"/>
    <col min="3919" max="3919" width="10.59765625" style="1" customWidth="1"/>
    <col min="3920" max="3920" width="41.59765625" style="1" customWidth="1"/>
    <col min="3921" max="4165" width="9" style="1"/>
    <col min="4166" max="4166" width="1.19921875" style="1" customWidth="1"/>
    <col min="4167" max="4167" width="53.69921875" style="1" customWidth="1"/>
    <col min="4168" max="4172" width="10.59765625" style="1" customWidth="1"/>
    <col min="4173" max="4173" width="9.296875" style="1" customWidth="1"/>
    <col min="4174" max="4174" width="8.296875" style="1" customWidth="1"/>
    <col min="4175" max="4175" width="10.59765625" style="1" customWidth="1"/>
    <col min="4176" max="4176" width="41.59765625" style="1" customWidth="1"/>
    <col min="4177" max="4421" width="9" style="1"/>
    <col min="4422" max="4422" width="1.19921875" style="1" customWidth="1"/>
    <col min="4423" max="4423" width="53.69921875" style="1" customWidth="1"/>
    <col min="4424" max="4428" width="10.59765625" style="1" customWidth="1"/>
    <col min="4429" max="4429" width="9.296875" style="1" customWidth="1"/>
    <col min="4430" max="4430" width="8.296875" style="1" customWidth="1"/>
    <col min="4431" max="4431" width="10.59765625" style="1" customWidth="1"/>
    <col min="4432" max="4432" width="41.59765625" style="1" customWidth="1"/>
    <col min="4433" max="4677" width="9" style="1"/>
    <col min="4678" max="4678" width="1.19921875" style="1" customWidth="1"/>
    <col min="4679" max="4679" width="53.69921875" style="1" customWidth="1"/>
    <col min="4680" max="4684" width="10.59765625" style="1" customWidth="1"/>
    <col min="4685" max="4685" width="9.296875" style="1" customWidth="1"/>
    <col min="4686" max="4686" width="8.296875" style="1" customWidth="1"/>
    <col min="4687" max="4687" width="10.59765625" style="1" customWidth="1"/>
    <col min="4688" max="4688" width="41.59765625" style="1" customWidth="1"/>
    <col min="4689" max="4933" width="9" style="1"/>
    <col min="4934" max="4934" width="1.19921875" style="1" customWidth="1"/>
    <col min="4935" max="4935" width="53.69921875" style="1" customWidth="1"/>
    <col min="4936" max="4940" width="10.59765625" style="1" customWidth="1"/>
    <col min="4941" max="4941" width="9.296875" style="1" customWidth="1"/>
    <col min="4942" max="4942" width="8.296875" style="1" customWidth="1"/>
    <col min="4943" max="4943" width="10.59765625" style="1" customWidth="1"/>
    <col min="4944" max="4944" width="41.59765625" style="1" customWidth="1"/>
    <col min="4945" max="5189" width="9" style="1"/>
    <col min="5190" max="5190" width="1.19921875" style="1" customWidth="1"/>
    <col min="5191" max="5191" width="53.69921875" style="1" customWidth="1"/>
    <col min="5192" max="5196" width="10.59765625" style="1" customWidth="1"/>
    <col min="5197" max="5197" width="9.296875" style="1" customWidth="1"/>
    <col min="5198" max="5198" width="8.296875" style="1" customWidth="1"/>
    <col min="5199" max="5199" width="10.59765625" style="1" customWidth="1"/>
    <col min="5200" max="5200" width="41.59765625" style="1" customWidth="1"/>
    <col min="5201" max="5445" width="9" style="1"/>
    <col min="5446" max="5446" width="1.19921875" style="1" customWidth="1"/>
    <col min="5447" max="5447" width="53.69921875" style="1" customWidth="1"/>
    <col min="5448" max="5452" width="10.59765625" style="1" customWidth="1"/>
    <col min="5453" max="5453" width="9.296875" style="1" customWidth="1"/>
    <col min="5454" max="5454" width="8.296875" style="1" customWidth="1"/>
    <col min="5455" max="5455" width="10.59765625" style="1" customWidth="1"/>
    <col min="5456" max="5456" width="41.59765625" style="1" customWidth="1"/>
    <col min="5457" max="5701" width="9" style="1"/>
    <col min="5702" max="5702" width="1.19921875" style="1" customWidth="1"/>
    <col min="5703" max="5703" width="53.69921875" style="1" customWidth="1"/>
    <col min="5704" max="5708" width="10.59765625" style="1" customWidth="1"/>
    <col min="5709" max="5709" width="9.296875" style="1" customWidth="1"/>
    <col min="5710" max="5710" width="8.296875" style="1" customWidth="1"/>
    <col min="5711" max="5711" width="10.59765625" style="1" customWidth="1"/>
    <col min="5712" max="5712" width="41.59765625" style="1" customWidth="1"/>
    <col min="5713" max="5957" width="9" style="1"/>
    <col min="5958" max="5958" width="1.19921875" style="1" customWidth="1"/>
    <col min="5959" max="5959" width="53.69921875" style="1" customWidth="1"/>
    <col min="5960" max="5964" width="10.59765625" style="1" customWidth="1"/>
    <col min="5965" max="5965" width="9.296875" style="1" customWidth="1"/>
    <col min="5966" max="5966" width="8.296875" style="1" customWidth="1"/>
    <col min="5967" max="5967" width="10.59765625" style="1" customWidth="1"/>
    <col min="5968" max="5968" width="41.59765625" style="1" customWidth="1"/>
    <col min="5969" max="6213" width="9" style="1"/>
    <col min="6214" max="6214" width="1.19921875" style="1" customWidth="1"/>
    <col min="6215" max="6215" width="53.69921875" style="1" customWidth="1"/>
    <col min="6216" max="6220" width="10.59765625" style="1" customWidth="1"/>
    <col min="6221" max="6221" width="9.296875" style="1" customWidth="1"/>
    <col min="6222" max="6222" width="8.296875" style="1" customWidth="1"/>
    <col min="6223" max="6223" width="10.59765625" style="1" customWidth="1"/>
    <col min="6224" max="6224" width="41.59765625" style="1" customWidth="1"/>
    <col min="6225" max="6469" width="9" style="1"/>
    <col min="6470" max="6470" width="1.19921875" style="1" customWidth="1"/>
    <col min="6471" max="6471" width="53.69921875" style="1" customWidth="1"/>
    <col min="6472" max="6476" width="10.59765625" style="1" customWidth="1"/>
    <col min="6477" max="6477" width="9.296875" style="1" customWidth="1"/>
    <col min="6478" max="6478" width="8.296875" style="1" customWidth="1"/>
    <col min="6479" max="6479" width="10.59765625" style="1" customWidth="1"/>
    <col min="6480" max="6480" width="41.59765625" style="1" customWidth="1"/>
    <col min="6481" max="6725" width="9" style="1"/>
    <col min="6726" max="6726" width="1.19921875" style="1" customWidth="1"/>
    <col min="6727" max="6727" width="53.69921875" style="1" customWidth="1"/>
    <col min="6728" max="6732" width="10.59765625" style="1" customWidth="1"/>
    <col min="6733" max="6733" width="9.296875" style="1" customWidth="1"/>
    <col min="6734" max="6734" width="8.296875" style="1" customWidth="1"/>
    <col min="6735" max="6735" width="10.59765625" style="1" customWidth="1"/>
    <col min="6736" max="6736" width="41.59765625" style="1" customWidth="1"/>
    <col min="6737" max="6981" width="9" style="1"/>
    <col min="6982" max="6982" width="1.19921875" style="1" customWidth="1"/>
    <col min="6983" max="6983" width="53.69921875" style="1" customWidth="1"/>
    <col min="6984" max="6988" width="10.59765625" style="1" customWidth="1"/>
    <col min="6989" max="6989" width="9.296875" style="1" customWidth="1"/>
    <col min="6990" max="6990" width="8.296875" style="1" customWidth="1"/>
    <col min="6991" max="6991" width="10.59765625" style="1" customWidth="1"/>
    <col min="6992" max="6992" width="41.59765625" style="1" customWidth="1"/>
    <col min="6993" max="7237" width="9" style="1"/>
    <col min="7238" max="7238" width="1.19921875" style="1" customWidth="1"/>
    <col min="7239" max="7239" width="53.69921875" style="1" customWidth="1"/>
    <col min="7240" max="7244" width="10.59765625" style="1" customWidth="1"/>
    <col min="7245" max="7245" width="9.296875" style="1" customWidth="1"/>
    <col min="7246" max="7246" width="8.296875" style="1" customWidth="1"/>
    <col min="7247" max="7247" width="10.59765625" style="1" customWidth="1"/>
    <col min="7248" max="7248" width="41.59765625" style="1" customWidth="1"/>
    <col min="7249" max="7493" width="9" style="1"/>
    <col min="7494" max="7494" width="1.19921875" style="1" customWidth="1"/>
    <col min="7495" max="7495" width="53.69921875" style="1" customWidth="1"/>
    <col min="7496" max="7500" width="10.59765625" style="1" customWidth="1"/>
    <col min="7501" max="7501" width="9.296875" style="1" customWidth="1"/>
    <col min="7502" max="7502" width="8.296875" style="1" customWidth="1"/>
    <col min="7503" max="7503" width="10.59765625" style="1" customWidth="1"/>
    <col min="7504" max="7504" width="41.59765625" style="1" customWidth="1"/>
    <col min="7505" max="7749" width="9" style="1"/>
    <col min="7750" max="7750" width="1.19921875" style="1" customWidth="1"/>
    <col min="7751" max="7751" width="53.69921875" style="1" customWidth="1"/>
    <col min="7752" max="7756" width="10.59765625" style="1" customWidth="1"/>
    <col min="7757" max="7757" width="9.296875" style="1" customWidth="1"/>
    <col min="7758" max="7758" width="8.296875" style="1" customWidth="1"/>
    <col min="7759" max="7759" width="10.59765625" style="1" customWidth="1"/>
    <col min="7760" max="7760" width="41.59765625" style="1" customWidth="1"/>
    <col min="7761" max="8005" width="9" style="1"/>
    <col min="8006" max="8006" width="1.19921875" style="1" customWidth="1"/>
    <col min="8007" max="8007" width="53.69921875" style="1" customWidth="1"/>
    <col min="8008" max="8012" width="10.59765625" style="1" customWidth="1"/>
    <col min="8013" max="8013" width="9.296875" style="1" customWidth="1"/>
    <col min="8014" max="8014" width="8.296875" style="1" customWidth="1"/>
    <col min="8015" max="8015" width="10.59765625" style="1" customWidth="1"/>
    <col min="8016" max="8016" width="41.59765625" style="1" customWidth="1"/>
    <col min="8017" max="8261" width="9" style="1"/>
    <col min="8262" max="8262" width="1.19921875" style="1" customWidth="1"/>
    <col min="8263" max="8263" width="53.69921875" style="1" customWidth="1"/>
    <col min="8264" max="8268" width="10.59765625" style="1" customWidth="1"/>
    <col min="8269" max="8269" width="9.296875" style="1" customWidth="1"/>
    <col min="8270" max="8270" width="8.296875" style="1" customWidth="1"/>
    <col min="8271" max="8271" width="10.59765625" style="1" customWidth="1"/>
    <col min="8272" max="8272" width="41.59765625" style="1" customWidth="1"/>
    <col min="8273" max="8517" width="9" style="1"/>
    <col min="8518" max="8518" width="1.19921875" style="1" customWidth="1"/>
    <col min="8519" max="8519" width="53.69921875" style="1" customWidth="1"/>
    <col min="8520" max="8524" width="10.59765625" style="1" customWidth="1"/>
    <col min="8525" max="8525" width="9.296875" style="1" customWidth="1"/>
    <col min="8526" max="8526" width="8.296875" style="1" customWidth="1"/>
    <col min="8527" max="8527" width="10.59765625" style="1" customWidth="1"/>
    <col min="8528" max="8528" width="41.59765625" style="1" customWidth="1"/>
    <col min="8529" max="8773" width="9" style="1"/>
    <col min="8774" max="8774" width="1.19921875" style="1" customWidth="1"/>
    <col min="8775" max="8775" width="53.69921875" style="1" customWidth="1"/>
    <col min="8776" max="8780" width="10.59765625" style="1" customWidth="1"/>
    <col min="8781" max="8781" width="9.296875" style="1" customWidth="1"/>
    <col min="8782" max="8782" width="8.296875" style="1" customWidth="1"/>
    <col min="8783" max="8783" width="10.59765625" style="1" customWidth="1"/>
    <col min="8784" max="8784" width="41.59765625" style="1" customWidth="1"/>
    <col min="8785" max="9029" width="9" style="1"/>
    <col min="9030" max="9030" width="1.19921875" style="1" customWidth="1"/>
    <col min="9031" max="9031" width="53.69921875" style="1" customWidth="1"/>
    <col min="9032" max="9036" width="10.59765625" style="1" customWidth="1"/>
    <col min="9037" max="9037" width="9.296875" style="1" customWidth="1"/>
    <col min="9038" max="9038" width="8.296875" style="1" customWidth="1"/>
    <col min="9039" max="9039" width="10.59765625" style="1" customWidth="1"/>
    <col min="9040" max="9040" width="41.59765625" style="1" customWidth="1"/>
    <col min="9041" max="9285" width="9" style="1"/>
    <col min="9286" max="9286" width="1.19921875" style="1" customWidth="1"/>
    <col min="9287" max="9287" width="53.69921875" style="1" customWidth="1"/>
    <col min="9288" max="9292" width="10.59765625" style="1" customWidth="1"/>
    <col min="9293" max="9293" width="9.296875" style="1" customWidth="1"/>
    <col min="9294" max="9294" width="8.296875" style="1" customWidth="1"/>
    <col min="9295" max="9295" width="10.59765625" style="1" customWidth="1"/>
    <col min="9296" max="9296" width="41.59765625" style="1" customWidth="1"/>
    <col min="9297" max="9541" width="9" style="1"/>
    <col min="9542" max="9542" width="1.19921875" style="1" customWidth="1"/>
    <col min="9543" max="9543" width="53.69921875" style="1" customWidth="1"/>
    <col min="9544" max="9548" width="10.59765625" style="1" customWidth="1"/>
    <col min="9549" max="9549" width="9.296875" style="1" customWidth="1"/>
    <col min="9550" max="9550" width="8.296875" style="1" customWidth="1"/>
    <col min="9551" max="9551" width="10.59765625" style="1" customWidth="1"/>
    <col min="9552" max="9552" width="41.59765625" style="1" customWidth="1"/>
    <col min="9553" max="9797" width="9" style="1"/>
    <col min="9798" max="9798" width="1.19921875" style="1" customWidth="1"/>
    <col min="9799" max="9799" width="53.69921875" style="1" customWidth="1"/>
    <col min="9800" max="9804" width="10.59765625" style="1" customWidth="1"/>
    <col min="9805" max="9805" width="9.296875" style="1" customWidth="1"/>
    <col min="9806" max="9806" width="8.296875" style="1" customWidth="1"/>
    <col min="9807" max="9807" width="10.59765625" style="1" customWidth="1"/>
    <col min="9808" max="9808" width="41.59765625" style="1" customWidth="1"/>
    <col min="9809" max="10053" width="9" style="1"/>
    <col min="10054" max="10054" width="1.19921875" style="1" customWidth="1"/>
    <col min="10055" max="10055" width="53.69921875" style="1" customWidth="1"/>
    <col min="10056" max="10060" width="10.59765625" style="1" customWidth="1"/>
    <col min="10061" max="10061" width="9.296875" style="1" customWidth="1"/>
    <col min="10062" max="10062" width="8.296875" style="1" customWidth="1"/>
    <col min="10063" max="10063" width="10.59765625" style="1" customWidth="1"/>
    <col min="10064" max="10064" width="41.59765625" style="1" customWidth="1"/>
    <col min="10065" max="10309" width="9" style="1"/>
    <col min="10310" max="10310" width="1.19921875" style="1" customWidth="1"/>
    <col min="10311" max="10311" width="53.69921875" style="1" customWidth="1"/>
    <col min="10312" max="10316" width="10.59765625" style="1" customWidth="1"/>
    <col min="10317" max="10317" width="9.296875" style="1" customWidth="1"/>
    <col min="10318" max="10318" width="8.296875" style="1" customWidth="1"/>
    <col min="10319" max="10319" width="10.59765625" style="1" customWidth="1"/>
    <col min="10320" max="10320" width="41.59765625" style="1" customWidth="1"/>
    <col min="10321" max="10565" width="9" style="1"/>
    <col min="10566" max="10566" width="1.19921875" style="1" customWidth="1"/>
    <col min="10567" max="10567" width="53.69921875" style="1" customWidth="1"/>
    <col min="10568" max="10572" width="10.59765625" style="1" customWidth="1"/>
    <col min="10573" max="10573" width="9.296875" style="1" customWidth="1"/>
    <col min="10574" max="10574" width="8.296875" style="1" customWidth="1"/>
    <col min="10575" max="10575" width="10.59765625" style="1" customWidth="1"/>
    <col min="10576" max="10576" width="41.59765625" style="1" customWidth="1"/>
    <col min="10577" max="10821" width="9" style="1"/>
    <col min="10822" max="10822" width="1.19921875" style="1" customWidth="1"/>
    <col min="10823" max="10823" width="53.69921875" style="1" customWidth="1"/>
    <col min="10824" max="10828" width="10.59765625" style="1" customWidth="1"/>
    <col min="10829" max="10829" width="9.296875" style="1" customWidth="1"/>
    <col min="10830" max="10830" width="8.296875" style="1" customWidth="1"/>
    <col min="10831" max="10831" width="10.59765625" style="1" customWidth="1"/>
    <col min="10832" max="10832" width="41.59765625" style="1" customWidth="1"/>
    <col min="10833" max="11077" width="9" style="1"/>
    <col min="11078" max="11078" width="1.19921875" style="1" customWidth="1"/>
    <col min="11079" max="11079" width="53.69921875" style="1" customWidth="1"/>
    <col min="11080" max="11084" width="10.59765625" style="1" customWidth="1"/>
    <col min="11085" max="11085" width="9.296875" style="1" customWidth="1"/>
    <col min="11086" max="11086" width="8.296875" style="1" customWidth="1"/>
    <col min="11087" max="11087" width="10.59765625" style="1" customWidth="1"/>
    <col min="11088" max="11088" width="41.59765625" style="1" customWidth="1"/>
    <col min="11089" max="11333" width="9" style="1"/>
    <col min="11334" max="11334" width="1.19921875" style="1" customWidth="1"/>
    <col min="11335" max="11335" width="53.69921875" style="1" customWidth="1"/>
    <col min="11336" max="11340" width="10.59765625" style="1" customWidth="1"/>
    <col min="11341" max="11341" width="9.296875" style="1" customWidth="1"/>
    <col min="11342" max="11342" width="8.296875" style="1" customWidth="1"/>
    <col min="11343" max="11343" width="10.59765625" style="1" customWidth="1"/>
    <col min="11344" max="11344" width="41.59765625" style="1" customWidth="1"/>
    <col min="11345" max="11589" width="9" style="1"/>
    <col min="11590" max="11590" width="1.19921875" style="1" customWidth="1"/>
    <col min="11591" max="11591" width="53.69921875" style="1" customWidth="1"/>
    <col min="11592" max="11596" width="10.59765625" style="1" customWidth="1"/>
    <col min="11597" max="11597" width="9.296875" style="1" customWidth="1"/>
    <col min="11598" max="11598" width="8.296875" style="1" customWidth="1"/>
    <col min="11599" max="11599" width="10.59765625" style="1" customWidth="1"/>
    <col min="11600" max="11600" width="41.59765625" style="1" customWidth="1"/>
    <col min="11601" max="11845" width="9" style="1"/>
    <col min="11846" max="11846" width="1.19921875" style="1" customWidth="1"/>
    <col min="11847" max="11847" width="53.69921875" style="1" customWidth="1"/>
    <col min="11848" max="11852" width="10.59765625" style="1" customWidth="1"/>
    <col min="11853" max="11853" width="9.296875" style="1" customWidth="1"/>
    <col min="11854" max="11854" width="8.296875" style="1" customWidth="1"/>
    <col min="11855" max="11855" width="10.59765625" style="1" customWidth="1"/>
    <col min="11856" max="11856" width="41.59765625" style="1" customWidth="1"/>
    <col min="11857" max="12101" width="9" style="1"/>
    <col min="12102" max="12102" width="1.19921875" style="1" customWidth="1"/>
    <col min="12103" max="12103" width="53.69921875" style="1" customWidth="1"/>
    <col min="12104" max="12108" width="10.59765625" style="1" customWidth="1"/>
    <col min="12109" max="12109" width="9.296875" style="1" customWidth="1"/>
    <col min="12110" max="12110" width="8.296875" style="1" customWidth="1"/>
    <col min="12111" max="12111" width="10.59765625" style="1" customWidth="1"/>
    <col min="12112" max="12112" width="41.59765625" style="1" customWidth="1"/>
    <col min="12113" max="12357" width="9" style="1"/>
    <col min="12358" max="12358" width="1.19921875" style="1" customWidth="1"/>
    <col min="12359" max="12359" width="53.69921875" style="1" customWidth="1"/>
    <col min="12360" max="12364" width="10.59765625" style="1" customWidth="1"/>
    <col min="12365" max="12365" width="9.296875" style="1" customWidth="1"/>
    <col min="12366" max="12366" width="8.296875" style="1" customWidth="1"/>
    <col min="12367" max="12367" width="10.59765625" style="1" customWidth="1"/>
    <col min="12368" max="12368" width="41.59765625" style="1" customWidth="1"/>
    <col min="12369" max="12613" width="9" style="1"/>
    <col min="12614" max="12614" width="1.19921875" style="1" customWidth="1"/>
    <col min="12615" max="12615" width="53.69921875" style="1" customWidth="1"/>
    <col min="12616" max="12620" width="10.59765625" style="1" customWidth="1"/>
    <col min="12621" max="12621" width="9.296875" style="1" customWidth="1"/>
    <col min="12622" max="12622" width="8.296875" style="1" customWidth="1"/>
    <col min="12623" max="12623" width="10.59765625" style="1" customWidth="1"/>
    <col min="12624" max="12624" width="41.59765625" style="1" customWidth="1"/>
    <col min="12625" max="12869" width="9" style="1"/>
    <col min="12870" max="12870" width="1.19921875" style="1" customWidth="1"/>
    <col min="12871" max="12871" width="53.69921875" style="1" customWidth="1"/>
    <col min="12872" max="12876" width="10.59765625" style="1" customWidth="1"/>
    <col min="12877" max="12877" width="9.296875" style="1" customWidth="1"/>
    <col min="12878" max="12878" width="8.296875" style="1" customWidth="1"/>
    <col min="12879" max="12879" width="10.59765625" style="1" customWidth="1"/>
    <col min="12880" max="12880" width="41.59765625" style="1" customWidth="1"/>
    <col min="12881" max="13125" width="9" style="1"/>
    <col min="13126" max="13126" width="1.19921875" style="1" customWidth="1"/>
    <col min="13127" max="13127" width="53.69921875" style="1" customWidth="1"/>
    <col min="13128" max="13132" width="10.59765625" style="1" customWidth="1"/>
    <col min="13133" max="13133" width="9.296875" style="1" customWidth="1"/>
    <col min="13134" max="13134" width="8.296875" style="1" customWidth="1"/>
    <col min="13135" max="13135" width="10.59765625" style="1" customWidth="1"/>
    <col min="13136" max="13136" width="41.59765625" style="1" customWidth="1"/>
    <col min="13137" max="13381" width="9" style="1"/>
    <col min="13382" max="13382" width="1.19921875" style="1" customWidth="1"/>
    <col min="13383" max="13383" width="53.69921875" style="1" customWidth="1"/>
    <col min="13384" max="13388" width="10.59765625" style="1" customWidth="1"/>
    <col min="13389" max="13389" width="9.296875" style="1" customWidth="1"/>
    <col min="13390" max="13390" width="8.296875" style="1" customWidth="1"/>
    <col min="13391" max="13391" width="10.59765625" style="1" customWidth="1"/>
    <col min="13392" max="13392" width="41.59765625" style="1" customWidth="1"/>
    <col min="13393" max="13637" width="9" style="1"/>
    <col min="13638" max="13638" width="1.19921875" style="1" customWidth="1"/>
    <col min="13639" max="13639" width="53.69921875" style="1" customWidth="1"/>
    <col min="13640" max="13644" width="10.59765625" style="1" customWidth="1"/>
    <col min="13645" max="13645" width="9.296875" style="1" customWidth="1"/>
    <col min="13646" max="13646" width="8.296875" style="1" customWidth="1"/>
    <col min="13647" max="13647" width="10.59765625" style="1" customWidth="1"/>
    <col min="13648" max="13648" width="41.59765625" style="1" customWidth="1"/>
    <col min="13649" max="13893" width="9" style="1"/>
    <col min="13894" max="13894" width="1.19921875" style="1" customWidth="1"/>
    <col min="13895" max="13895" width="53.69921875" style="1" customWidth="1"/>
    <col min="13896" max="13900" width="10.59765625" style="1" customWidth="1"/>
    <col min="13901" max="13901" width="9.296875" style="1" customWidth="1"/>
    <col min="13902" max="13902" width="8.296875" style="1" customWidth="1"/>
    <col min="13903" max="13903" width="10.59765625" style="1" customWidth="1"/>
    <col min="13904" max="13904" width="41.59765625" style="1" customWidth="1"/>
    <col min="13905" max="14149" width="9" style="1"/>
    <col min="14150" max="14150" width="1.19921875" style="1" customWidth="1"/>
    <col min="14151" max="14151" width="53.69921875" style="1" customWidth="1"/>
    <col min="14152" max="14156" width="10.59765625" style="1" customWidth="1"/>
    <col min="14157" max="14157" width="9.296875" style="1" customWidth="1"/>
    <col min="14158" max="14158" width="8.296875" style="1" customWidth="1"/>
    <col min="14159" max="14159" width="10.59765625" style="1" customWidth="1"/>
    <col min="14160" max="14160" width="41.59765625" style="1" customWidth="1"/>
    <col min="14161" max="14405" width="9" style="1"/>
    <col min="14406" max="14406" width="1.19921875" style="1" customWidth="1"/>
    <col min="14407" max="14407" width="53.69921875" style="1" customWidth="1"/>
    <col min="14408" max="14412" width="10.59765625" style="1" customWidth="1"/>
    <col min="14413" max="14413" width="9.296875" style="1" customWidth="1"/>
    <col min="14414" max="14414" width="8.296875" style="1" customWidth="1"/>
    <col min="14415" max="14415" width="10.59765625" style="1" customWidth="1"/>
    <col min="14416" max="14416" width="41.59765625" style="1" customWidth="1"/>
    <col min="14417" max="14661" width="9" style="1"/>
    <col min="14662" max="14662" width="1.19921875" style="1" customWidth="1"/>
    <col min="14663" max="14663" width="53.69921875" style="1" customWidth="1"/>
    <col min="14664" max="14668" width="10.59765625" style="1" customWidth="1"/>
    <col min="14669" max="14669" width="9.296875" style="1" customWidth="1"/>
    <col min="14670" max="14670" width="8.296875" style="1" customWidth="1"/>
    <col min="14671" max="14671" width="10.59765625" style="1" customWidth="1"/>
    <col min="14672" max="14672" width="41.59765625" style="1" customWidth="1"/>
    <col min="14673" max="14917" width="9" style="1"/>
    <col min="14918" max="14918" width="1.19921875" style="1" customWidth="1"/>
    <col min="14919" max="14919" width="53.69921875" style="1" customWidth="1"/>
    <col min="14920" max="14924" width="10.59765625" style="1" customWidth="1"/>
    <col min="14925" max="14925" width="9.296875" style="1" customWidth="1"/>
    <col min="14926" max="14926" width="8.296875" style="1" customWidth="1"/>
    <col min="14927" max="14927" width="10.59765625" style="1" customWidth="1"/>
    <col min="14928" max="14928" width="41.59765625" style="1" customWidth="1"/>
    <col min="14929" max="15173" width="9" style="1"/>
    <col min="15174" max="15174" width="1.19921875" style="1" customWidth="1"/>
    <col min="15175" max="15175" width="53.69921875" style="1" customWidth="1"/>
    <col min="15176" max="15180" width="10.59765625" style="1" customWidth="1"/>
    <col min="15181" max="15181" width="9.296875" style="1" customWidth="1"/>
    <col min="15182" max="15182" width="8.296875" style="1" customWidth="1"/>
    <col min="15183" max="15183" width="10.59765625" style="1" customWidth="1"/>
    <col min="15184" max="15184" width="41.59765625" style="1" customWidth="1"/>
    <col min="15185" max="15429" width="9" style="1"/>
    <col min="15430" max="15430" width="1.19921875" style="1" customWidth="1"/>
    <col min="15431" max="15431" width="53.69921875" style="1" customWidth="1"/>
    <col min="15432" max="15436" width="10.59765625" style="1" customWidth="1"/>
    <col min="15437" max="15437" width="9.296875" style="1" customWidth="1"/>
    <col min="15438" max="15438" width="8.296875" style="1" customWidth="1"/>
    <col min="15439" max="15439" width="10.59765625" style="1" customWidth="1"/>
    <col min="15440" max="15440" width="41.59765625" style="1" customWidth="1"/>
    <col min="15441" max="15685" width="9" style="1"/>
    <col min="15686" max="15686" width="1.19921875" style="1" customWidth="1"/>
    <col min="15687" max="15687" width="53.69921875" style="1" customWidth="1"/>
    <col min="15688" max="15692" width="10.59765625" style="1" customWidth="1"/>
    <col min="15693" max="15693" width="9.296875" style="1" customWidth="1"/>
    <col min="15694" max="15694" width="8.296875" style="1" customWidth="1"/>
    <col min="15695" max="15695" width="10.59765625" style="1" customWidth="1"/>
    <col min="15696" max="15696" width="41.59765625" style="1" customWidth="1"/>
    <col min="15697" max="15941" width="9" style="1"/>
    <col min="15942" max="15942" width="1.19921875" style="1" customWidth="1"/>
    <col min="15943" max="15943" width="53.69921875" style="1" customWidth="1"/>
    <col min="15944" max="15948" width="10.59765625" style="1" customWidth="1"/>
    <col min="15949" max="15949" width="9.296875" style="1" customWidth="1"/>
    <col min="15950" max="15950" width="8.296875" style="1" customWidth="1"/>
    <col min="15951" max="15951" width="10.59765625" style="1" customWidth="1"/>
    <col min="15952" max="15952" width="41.59765625" style="1" customWidth="1"/>
    <col min="15953" max="16384" width="9" style="1"/>
  </cols>
  <sheetData>
    <row r="1" spans="1:6" ht="13.8" x14ac:dyDescent="0.25">
      <c r="A1" s="11" t="s">
        <v>21</v>
      </c>
      <c r="B1" s="71"/>
      <c r="C1" s="61"/>
    </row>
    <row r="2" spans="1:6" x14ac:dyDescent="0.25">
      <c r="A2" s="61"/>
      <c r="B2" s="71"/>
      <c r="C2" s="61"/>
    </row>
    <row r="3" spans="1:6" ht="15" customHeight="1" x14ac:dyDescent="0.25">
      <c r="A3" s="11" t="s">
        <v>845</v>
      </c>
      <c r="B3" s="11"/>
      <c r="C3" s="11"/>
    </row>
    <row r="4" spans="1:6" ht="15" customHeight="1" x14ac:dyDescent="0.25">
      <c r="A4" s="11"/>
      <c r="B4" s="11"/>
      <c r="C4" s="11"/>
    </row>
    <row r="5" spans="1:6" ht="81.75" customHeight="1" x14ac:dyDescent="0.25">
      <c r="A5" s="673" t="s">
        <v>846</v>
      </c>
      <c r="B5" s="673"/>
      <c r="C5" s="673"/>
    </row>
    <row r="6" spans="1:6" ht="14.4" thickBot="1" x14ac:dyDescent="0.3">
      <c r="B6" s="353"/>
      <c r="C6" s="350"/>
    </row>
    <row r="7" spans="1:6" ht="46.5" customHeight="1" thickBot="1" x14ac:dyDescent="0.3">
      <c r="A7" s="96"/>
      <c r="B7" s="119" t="s">
        <v>205</v>
      </c>
      <c r="C7" s="119" t="s">
        <v>155</v>
      </c>
      <c r="D7" s="119" t="s">
        <v>97</v>
      </c>
      <c r="E7" s="62"/>
      <c r="F7" s="62"/>
    </row>
    <row r="8" spans="1:6" ht="13.8" x14ac:dyDescent="0.25">
      <c r="A8" s="350"/>
      <c r="B8" s="350"/>
      <c r="C8" s="38"/>
    </row>
    <row r="9" spans="1:6" ht="15" customHeight="1" x14ac:dyDescent="0.25">
      <c r="A9" s="8" t="s">
        <v>98</v>
      </c>
      <c r="B9" s="526" t="s">
        <v>911</v>
      </c>
      <c r="C9" s="394"/>
      <c r="D9" s="507"/>
      <c r="E9" s="64"/>
      <c r="F9" s="65"/>
    </row>
    <row r="10" spans="1:6" ht="15" customHeight="1" x14ac:dyDescent="0.25">
      <c r="A10" s="352"/>
      <c r="B10" s="526"/>
      <c r="C10" s="517"/>
      <c r="D10" s="507"/>
    </row>
    <row r="11" spans="1:6" ht="15" customHeight="1" x14ac:dyDescent="0.25">
      <c r="A11" s="351" t="s">
        <v>99</v>
      </c>
      <c r="B11" s="526" t="s">
        <v>912</v>
      </c>
      <c r="C11" s="394"/>
      <c r="D11" s="507"/>
      <c r="E11" s="54"/>
    </row>
    <row r="12" spans="1:6" ht="15" customHeight="1" x14ac:dyDescent="0.25">
      <c r="A12" s="351"/>
      <c r="B12" s="527"/>
      <c r="C12" s="517"/>
      <c r="D12" s="507"/>
      <c r="E12" s="54"/>
    </row>
    <row r="13" spans="1:6" ht="15" customHeight="1" x14ac:dyDescent="0.25">
      <c r="A13" s="122" t="s">
        <v>100</v>
      </c>
      <c r="B13" s="527" t="s">
        <v>913</v>
      </c>
      <c r="C13" s="323"/>
      <c r="D13" s="503"/>
      <c r="E13" s="54"/>
    </row>
    <row r="14" spans="1:6" ht="15" customHeight="1" x14ac:dyDescent="0.25">
      <c r="A14" s="27" t="s">
        <v>101</v>
      </c>
      <c r="B14" s="528"/>
      <c r="C14" s="504"/>
      <c r="D14" s="503"/>
      <c r="E14" s="54"/>
    </row>
    <row r="15" spans="1:6" ht="15" customHeight="1" x14ac:dyDescent="0.25">
      <c r="A15" s="27" t="s">
        <v>102</v>
      </c>
      <c r="B15" s="528"/>
      <c r="C15" s="504"/>
      <c r="D15" s="503"/>
      <c r="E15" s="54"/>
    </row>
    <row r="16" spans="1:6" ht="15" customHeight="1" x14ac:dyDescent="0.25">
      <c r="B16" s="517"/>
      <c r="C16" s="504"/>
      <c r="D16" s="503"/>
    </row>
    <row r="17" spans="1:6" ht="15" customHeight="1" x14ac:dyDescent="0.25">
      <c r="A17" s="126" t="s">
        <v>103</v>
      </c>
      <c r="B17" s="528" t="s">
        <v>914</v>
      </c>
      <c r="C17" s="323"/>
      <c r="D17" s="503"/>
    </row>
    <row r="18" spans="1:6" ht="15" customHeight="1" x14ac:dyDescent="0.25">
      <c r="A18" s="27" t="s">
        <v>104</v>
      </c>
      <c r="B18" s="528"/>
      <c r="C18" s="504"/>
      <c r="D18" s="503"/>
    </row>
    <row r="19" spans="1:6" ht="15" customHeight="1" x14ac:dyDescent="0.25">
      <c r="A19" s="27" t="s">
        <v>105</v>
      </c>
      <c r="B19" s="528"/>
      <c r="C19" s="504"/>
      <c r="D19" s="503"/>
    </row>
    <row r="20" spans="1:6" ht="15" customHeight="1" x14ac:dyDescent="0.25">
      <c r="A20" s="27" t="s">
        <v>106</v>
      </c>
      <c r="B20" s="528"/>
      <c r="C20" s="504"/>
      <c r="D20" s="503"/>
    </row>
    <row r="21" spans="1:6" ht="15" customHeight="1" x14ac:dyDescent="0.25">
      <c r="A21" s="27" t="s">
        <v>107</v>
      </c>
      <c r="B21" s="528"/>
      <c r="C21" s="504"/>
      <c r="D21" s="503"/>
    </row>
    <row r="22" spans="1:6" ht="15" customHeight="1" x14ac:dyDescent="0.25">
      <c r="A22" s="25"/>
      <c r="B22" s="527"/>
      <c r="C22" s="517"/>
      <c r="D22" s="503"/>
      <c r="E22" s="54"/>
    </row>
    <row r="23" spans="1:6" ht="15" customHeight="1" x14ac:dyDescent="0.25">
      <c r="A23" s="351" t="s">
        <v>108</v>
      </c>
      <c r="B23" s="527" t="s">
        <v>915</v>
      </c>
      <c r="C23" s="394"/>
      <c r="D23" s="507"/>
      <c r="E23" s="54"/>
    </row>
    <row r="24" spans="1:6" ht="15" customHeight="1" x14ac:dyDescent="0.25">
      <c r="A24" s="122" t="s">
        <v>109</v>
      </c>
      <c r="B24" s="528"/>
      <c r="C24" s="504"/>
      <c r="D24" s="503"/>
      <c r="F24"/>
    </row>
    <row r="25" spans="1:6" ht="15" customHeight="1" x14ac:dyDescent="0.25">
      <c r="A25" s="122" t="s">
        <v>110</v>
      </c>
      <c r="B25" s="528"/>
      <c r="C25" s="504"/>
      <c r="D25" s="503"/>
    </row>
    <row r="26" spans="1:6" ht="15" customHeight="1" x14ac:dyDescent="0.25">
      <c r="A26" s="122" t="s">
        <v>952</v>
      </c>
      <c r="B26" s="528"/>
      <c r="C26" s="648"/>
      <c r="D26" s="89"/>
    </row>
    <row r="27" spans="1:6" ht="15" customHeight="1" x14ac:dyDescent="0.25">
      <c r="A27" s="122" t="s">
        <v>953</v>
      </c>
      <c r="B27" s="528"/>
      <c r="C27" s="648"/>
      <c r="D27" s="89"/>
    </row>
    <row r="28" spans="1:6" ht="15" customHeight="1" x14ac:dyDescent="0.25">
      <c r="A28" s="348" t="s">
        <v>957</v>
      </c>
      <c r="B28" s="528"/>
      <c r="C28" s="648"/>
      <c r="D28" s="89"/>
    </row>
    <row r="29" spans="1:6" ht="15" customHeight="1" thickBot="1" x14ac:dyDescent="0.3">
      <c r="A29" s="82"/>
      <c r="B29" s="82"/>
      <c r="C29" s="83"/>
      <c r="D29" s="83"/>
    </row>
    <row r="30" spans="1:6" ht="15" customHeight="1" x14ac:dyDescent="0.25">
      <c r="A30" s="8"/>
      <c r="B30" s="352"/>
      <c r="C30" s="352"/>
    </row>
    <row r="31" spans="1:6" ht="15" customHeight="1" x14ac:dyDescent="0.25">
      <c r="A31" s="673" t="s">
        <v>826</v>
      </c>
      <c r="B31" s="673"/>
      <c r="C31" s="673"/>
      <c r="D31" s="673"/>
      <c r="E31" s="673"/>
    </row>
    <row r="32" spans="1:6" ht="15" customHeight="1" x14ac:dyDescent="0.25">
      <c r="A32" s="348"/>
      <c r="B32" s="348"/>
      <c r="C32" s="348"/>
      <c r="D32" s="348"/>
      <c r="E32" s="348"/>
    </row>
    <row r="33" spans="1:5" ht="63.75" customHeight="1" x14ac:dyDescent="0.25">
      <c r="A33" s="677" t="s">
        <v>206</v>
      </c>
      <c r="B33" s="677"/>
      <c r="C33" s="677"/>
      <c r="D33" s="677"/>
      <c r="E33" s="677"/>
    </row>
    <row r="34" spans="1:5" ht="27" customHeight="1" x14ac:dyDescent="0.25">
      <c r="A34" s="674" t="s">
        <v>93</v>
      </c>
      <c r="B34" s="674"/>
      <c r="C34" s="674"/>
      <c r="D34" s="674"/>
      <c r="E34" s="674"/>
    </row>
    <row r="35" spans="1:5" ht="32.25" customHeight="1" x14ac:dyDescent="0.25">
      <c r="A35" s="673" t="s">
        <v>94</v>
      </c>
      <c r="B35" s="673"/>
      <c r="C35" s="673"/>
      <c r="D35" s="673"/>
    </row>
    <row r="37" spans="1:5" ht="30" customHeight="1" x14ac:dyDescent="0.25"/>
    <row r="38" spans="1:5" ht="31.5" customHeight="1" x14ac:dyDescent="0.25"/>
  </sheetData>
  <mergeCells count="5">
    <mergeCell ref="A35:D35"/>
    <mergeCell ref="A31:E31"/>
    <mergeCell ref="A5:C5"/>
    <mergeCell ref="A33:E33"/>
    <mergeCell ref="A34:E34"/>
  </mergeCells>
  <pageMargins left="0.25" right="0.25" top="0.75" bottom="0.75" header="0.3" footer="0.3"/>
  <pageSetup paperSize="9" scale="71"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5"/>
  <sheetViews>
    <sheetView showGridLines="0" workbookViewId="0"/>
  </sheetViews>
  <sheetFormatPr defaultRowHeight="13.2" x14ac:dyDescent="0.25"/>
  <cols>
    <col min="1" max="1" width="53.69921875" style="114" customWidth="1"/>
    <col min="2" max="2" width="17.296875" style="114" customWidth="1"/>
    <col min="3" max="3" width="14.69921875" style="114" customWidth="1"/>
    <col min="4" max="4" width="13" style="114" customWidth="1"/>
    <col min="5" max="6" width="12.796875" style="114" customWidth="1"/>
    <col min="7" max="7" width="10.796875" style="114" customWidth="1"/>
    <col min="8" max="8" width="9" style="114"/>
    <col min="9" max="9" width="23.09765625" style="114" bestFit="1" customWidth="1"/>
    <col min="10" max="69" width="9" style="114"/>
    <col min="70" max="70" width="1.19921875" style="114" customWidth="1"/>
    <col min="71" max="71" width="53.69921875" style="114" customWidth="1"/>
    <col min="72" max="76" width="10.59765625" style="114" customWidth="1"/>
    <col min="77" max="77" width="9.296875" style="114" customWidth="1"/>
    <col min="78" max="78" width="8.296875" style="114" customWidth="1"/>
    <col min="79" max="79" width="10.59765625" style="114" customWidth="1"/>
    <col min="80" max="80" width="41.59765625" style="114" customWidth="1"/>
    <col min="81" max="325" width="9" style="114"/>
    <col min="326" max="326" width="1.19921875" style="114" customWidth="1"/>
    <col min="327" max="327" width="53.69921875" style="114" customWidth="1"/>
    <col min="328" max="332" width="10.59765625" style="114" customWidth="1"/>
    <col min="333" max="333" width="9.296875" style="114" customWidth="1"/>
    <col min="334" max="334" width="8.296875" style="114" customWidth="1"/>
    <col min="335" max="335" width="10.59765625" style="114" customWidth="1"/>
    <col min="336" max="336" width="41.59765625" style="114" customWidth="1"/>
    <col min="337" max="581" width="9" style="114"/>
    <col min="582" max="582" width="1.19921875" style="114" customWidth="1"/>
    <col min="583" max="583" width="53.69921875" style="114" customWidth="1"/>
    <col min="584" max="588" width="10.59765625" style="114" customWidth="1"/>
    <col min="589" max="589" width="9.296875" style="114" customWidth="1"/>
    <col min="590" max="590" width="8.296875" style="114" customWidth="1"/>
    <col min="591" max="591" width="10.59765625" style="114" customWidth="1"/>
    <col min="592" max="592" width="41.59765625" style="114" customWidth="1"/>
    <col min="593" max="837" width="9" style="114"/>
    <col min="838" max="838" width="1.19921875" style="114" customWidth="1"/>
    <col min="839" max="839" width="53.69921875" style="114" customWidth="1"/>
    <col min="840" max="844" width="10.59765625" style="114" customWidth="1"/>
    <col min="845" max="845" width="9.296875" style="114" customWidth="1"/>
    <col min="846" max="846" width="8.296875" style="114" customWidth="1"/>
    <col min="847" max="847" width="10.59765625" style="114" customWidth="1"/>
    <col min="848" max="848" width="41.59765625" style="114" customWidth="1"/>
    <col min="849" max="1093" width="9" style="114"/>
    <col min="1094" max="1094" width="1.19921875" style="114" customWidth="1"/>
    <col min="1095" max="1095" width="53.69921875" style="114" customWidth="1"/>
    <col min="1096" max="1100" width="10.59765625" style="114" customWidth="1"/>
    <col min="1101" max="1101" width="9.296875" style="114" customWidth="1"/>
    <col min="1102" max="1102" width="8.296875" style="114" customWidth="1"/>
    <col min="1103" max="1103" width="10.59765625" style="114" customWidth="1"/>
    <col min="1104" max="1104" width="41.59765625" style="114" customWidth="1"/>
    <col min="1105" max="1349" width="9" style="114"/>
    <col min="1350" max="1350" width="1.19921875" style="114" customWidth="1"/>
    <col min="1351" max="1351" width="53.69921875" style="114" customWidth="1"/>
    <col min="1352" max="1356" width="10.59765625" style="114" customWidth="1"/>
    <col min="1357" max="1357" width="9.296875" style="114" customWidth="1"/>
    <col min="1358" max="1358" width="8.296875" style="114" customWidth="1"/>
    <col min="1359" max="1359" width="10.59765625" style="114" customWidth="1"/>
    <col min="1360" max="1360" width="41.59765625" style="114" customWidth="1"/>
    <col min="1361" max="1605" width="9" style="114"/>
    <col min="1606" max="1606" width="1.19921875" style="114" customWidth="1"/>
    <col min="1607" max="1607" width="53.69921875" style="114" customWidth="1"/>
    <col min="1608" max="1612" width="10.59765625" style="114" customWidth="1"/>
    <col min="1613" max="1613" width="9.296875" style="114" customWidth="1"/>
    <col min="1614" max="1614" width="8.296875" style="114" customWidth="1"/>
    <col min="1615" max="1615" width="10.59765625" style="114" customWidth="1"/>
    <col min="1616" max="1616" width="41.59765625" style="114" customWidth="1"/>
    <col min="1617" max="1861" width="9" style="114"/>
    <col min="1862" max="1862" width="1.19921875" style="114" customWidth="1"/>
    <col min="1863" max="1863" width="53.69921875" style="114" customWidth="1"/>
    <col min="1864" max="1868" width="10.59765625" style="114" customWidth="1"/>
    <col min="1869" max="1869" width="9.296875" style="114" customWidth="1"/>
    <col min="1870" max="1870" width="8.296875" style="114" customWidth="1"/>
    <col min="1871" max="1871" width="10.59765625" style="114" customWidth="1"/>
    <col min="1872" max="1872" width="41.59765625" style="114" customWidth="1"/>
    <col min="1873" max="2117" width="9" style="114"/>
    <col min="2118" max="2118" width="1.19921875" style="114" customWidth="1"/>
    <col min="2119" max="2119" width="53.69921875" style="114" customWidth="1"/>
    <col min="2120" max="2124" width="10.59765625" style="114" customWidth="1"/>
    <col min="2125" max="2125" width="9.296875" style="114" customWidth="1"/>
    <col min="2126" max="2126" width="8.296875" style="114" customWidth="1"/>
    <col min="2127" max="2127" width="10.59765625" style="114" customWidth="1"/>
    <col min="2128" max="2128" width="41.59765625" style="114" customWidth="1"/>
    <col min="2129" max="2373" width="9" style="114"/>
    <col min="2374" max="2374" width="1.19921875" style="114" customWidth="1"/>
    <col min="2375" max="2375" width="53.69921875" style="114" customWidth="1"/>
    <col min="2376" max="2380" width="10.59765625" style="114" customWidth="1"/>
    <col min="2381" max="2381" width="9.296875" style="114" customWidth="1"/>
    <col min="2382" max="2382" width="8.296875" style="114" customWidth="1"/>
    <col min="2383" max="2383" width="10.59765625" style="114" customWidth="1"/>
    <col min="2384" max="2384" width="41.59765625" style="114" customWidth="1"/>
    <col min="2385" max="2629" width="9" style="114"/>
    <col min="2630" max="2630" width="1.19921875" style="114" customWidth="1"/>
    <col min="2631" max="2631" width="53.69921875" style="114" customWidth="1"/>
    <col min="2632" max="2636" width="10.59765625" style="114" customWidth="1"/>
    <col min="2637" max="2637" width="9.296875" style="114" customWidth="1"/>
    <col min="2638" max="2638" width="8.296875" style="114" customWidth="1"/>
    <col min="2639" max="2639" width="10.59765625" style="114" customWidth="1"/>
    <col min="2640" max="2640" width="41.59765625" style="114" customWidth="1"/>
    <col min="2641" max="2885" width="9" style="114"/>
    <col min="2886" max="2886" width="1.19921875" style="114" customWidth="1"/>
    <col min="2887" max="2887" width="53.69921875" style="114" customWidth="1"/>
    <col min="2888" max="2892" width="10.59765625" style="114" customWidth="1"/>
    <col min="2893" max="2893" width="9.296875" style="114" customWidth="1"/>
    <col min="2894" max="2894" width="8.296875" style="114" customWidth="1"/>
    <col min="2895" max="2895" width="10.59765625" style="114" customWidth="1"/>
    <col min="2896" max="2896" width="41.59765625" style="114" customWidth="1"/>
    <col min="2897" max="3141" width="9" style="114"/>
    <col min="3142" max="3142" width="1.19921875" style="114" customWidth="1"/>
    <col min="3143" max="3143" width="53.69921875" style="114" customWidth="1"/>
    <col min="3144" max="3148" width="10.59765625" style="114" customWidth="1"/>
    <col min="3149" max="3149" width="9.296875" style="114" customWidth="1"/>
    <col min="3150" max="3150" width="8.296875" style="114" customWidth="1"/>
    <col min="3151" max="3151" width="10.59765625" style="114" customWidth="1"/>
    <col min="3152" max="3152" width="41.59765625" style="114" customWidth="1"/>
    <col min="3153" max="3397" width="9" style="114"/>
    <col min="3398" max="3398" width="1.19921875" style="114" customWidth="1"/>
    <col min="3399" max="3399" width="53.69921875" style="114" customWidth="1"/>
    <col min="3400" max="3404" width="10.59765625" style="114" customWidth="1"/>
    <col min="3405" max="3405" width="9.296875" style="114" customWidth="1"/>
    <col min="3406" max="3406" width="8.296875" style="114" customWidth="1"/>
    <col min="3407" max="3407" width="10.59765625" style="114" customWidth="1"/>
    <col min="3408" max="3408" width="41.59765625" style="114" customWidth="1"/>
    <col min="3409" max="3653" width="9" style="114"/>
    <col min="3654" max="3654" width="1.19921875" style="114" customWidth="1"/>
    <col min="3655" max="3655" width="53.69921875" style="114" customWidth="1"/>
    <col min="3656" max="3660" width="10.59765625" style="114" customWidth="1"/>
    <col min="3661" max="3661" width="9.296875" style="114" customWidth="1"/>
    <col min="3662" max="3662" width="8.296875" style="114" customWidth="1"/>
    <col min="3663" max="3663" width="10.59765625" style="114" customWidth="1"/>
    <col min="3664" max="3664" width="41.59765625" style="114" customWidth="1"/>
    <col min="3665" max="3909" width="9" style="114"/>
    <col min="3910" max="3910" width="1.19921875" style="114" customWidth="1"/>
    <col min="3911" max="3911" width="53.69921875" style="114" customWidth="1"/>
    <col min="3912" max="3916" width="10.59765625" style="114" customWidth="1"/>
    <col min="3917" max="3917" width="9.296875" style="114" customWidth="1"/>
    <col min="3918" max="3918" width="8.296875" style="114" customWidth="1"/>
    <col min="3919" max="3919" width="10.59765625" style="114" customWidth="1"/>
    <col min="3920" max="3920" width="41.59765625" style="114" customWidth="1"/>
    <col min="3921" max="4165" width="9" style="114"/>
    <col min="4166" max="4166" width="1.19921875" style="114" customWidth="1"/>
    <col min="4167" max="4167" width="53.69921875" style="114" customWidth="1"/>
    <col min="4168" max="4172" width="10.59765625" style="114" customWidth="1"/>
    <col min="4173" max="4173" width="9.296875" style="114" customWidth="1"/>
    <col min="4174" max="4174" width="8.296875" style="114" customWidth="1"/>
    <col min="4175" max="4175" width="10.59765625" style="114" customWidth="1"/>
    <col min="4176" max="4176" width="41.59765625" style="114" customWidth="1"/>
    <col min="4177" max="4421" width="9" style="114"/>
    <col min="4422" max="4422" width="1.19921875" style="114" customWidth="1"/>
    <col min="4423" max="4423" width="53.69921875" style="114" customWidth="1"/>
    <col min="4424" max="4428" width="10.59765625" style="114" customWidth="1"/>
    <col min="4429" max="4429" width="9.296875" style="114" customWidth="1"/>
    <col min="4430" max="4430" width="8.296875" style="114" customWidth="1"/>
    <col min="4431" max="4431" width="10.59765625" style="114" customWidth="1"/>
    <col min="4432" max="4432" width="41.59765625" style="114" customWidth="1"/>
    <col min="4433" max="4677" width="9" style="114"/>
    <col min="4678" max="4678" width="1.19921875" style="114" customWidth="1"/>
    <col min="4679" max="4679" width="53.69921875" style="114" customWidth="1"/>
    <col min="4680" max="4684" width="10.59765625" style="114" customWidth="1"/>
    <col min="4685" max="4685" width="9.296875" style="114" customWidth="1"/>
    <col min="4686" max="4686" width="8.296875" style="114" customWidth="1"/>
    <col min="4687" max="4687" width="10.59765625" style="114" customWidth="1"/>
    <col min="4688" max="4688" width="41.59765625" style="114" customWidth="1"/>
    <col min="4689" max="4933" width="9" style="114"/>
    <col min="4934" max="4934" width="1.19921875" style="114" customWidth="1"/>
    <col min="4935" max="4935" width="53.69921875" style="114" customWidth="1"/>
    <col min="4936" max="4940" width="10.59765625" style="114" customWidth="1"/>
    <col min="4941" max="4941" width="9.296875" style="114" customWidth="1"/>
    <col min="4942" max="4942" width="8.296875" style="114" customWidth="1"/>
    <col min="4943" max="4943" width="10.59765625" style="114" customWidth="1"/>
    <col min="4944" max="4944" width="41.59765625" style="114" customWidth="1"/>
    <col min="4945" max="5189" width="9" style="114"/>
    <col min="5190" max="5190" width="1.19921875" style="114" customWidth="1"/>
    <col min="5191" max="5191" width="53.69921875" style="114" customWidth="1"/>
    <col min="5192" max="5196" width="10.59765625" style="114" customWidth="1"/>
    <col min="5197" max="5197" width="9.296875" style="114" customWidth="1"/>
    <col min="5198" max="5198" width="8.296875" style="114" customWidth="1"/>
    <col min="5199" max="5199" width="10.59765625" style="114" customWidth="1"/>
    <col min="5200" max="5200" width="41.59765625" style="114" customWidth="1"/>
    <col min="5201" max="5445" width="9" style="114"/>
    <col min="5446" max="5446" width="1.19921875" style="114" customWidth="1"/>
    <col min="5447" max="5447" width="53.69921875" style="114" customWidth="1"/>
    <col min="5448" max="5452" width="10.59765625" style="114" customWidth="1"/>
    <col min="5453" max="5453" width="9.296875" style="114" customWidth="1"/>
    <col min="5454" max="5454" width="8.296875" style="114" customWidth="1"/>
    <col min="5455" max="5455" width="10.59765625" style="114" customWidth="1"/>
    <col min="5456" max="5456" width="41.59765625" style="114" customWidth="1"/>
    <col min="5457" max="5701" width="9" style="114"/>
    <col min="5702" max="5702" width="1.19921875" style="114" customWidth="1"/>
    <col min="5703" max="5703" width="53.69921875" style="114" customWidth="1"/>
    <col min="5704" max="5708" width="10.59765625" style="114" customWidth="1"/>
    <col min="5709" max="5709" width="9.296875" style="114" customWidth="1"/>
    <col min="5710" max="5710" width="8.296875" style="114" customWidth="1"/>
    <col min="5711" max="5711" width="10.59765625" style="114" customWidth="1"/>
    <col min="5712" max="5712" width="41.59765625" style="114" customWidth="1"/>
    <col min="5713" max="5957" width="9" style="114"/>
    <col min="5958" max="5958" width="1.19921875" style="114" customWidth="1"/>
    <col min="5959" max="5959" width="53.69921875" style="114" customWidth="1"/>
    <col min="5960" max="5964" width="10.59765625" style="114" customWidth="1"/>
    <col min="5965" max="5965" width="9.296875" style="114" customWidth="1"/>
    <col min="5966" max="5966" width="8.296875" style="114" customWidth="1"/>
    <col min="5967" max="5967" width="10.59765625" style="114" customWidth="1"/>
    <col min="5968" max="5968" width="41.59765625" style="114" customWidth="1"/>
    <col min="5969" max="6213" width="9" style="114"/>
    <col min="6214" max="6214" width="1.19921875" style="114" customWidth="1"/>
    <col min="6215" max="6215" width="53.69921875" style="114" customWidth="1"/>
    <col min="6216" max="6220" width="10.59765625" style="114" customWidth="1"/>
    <col min="6221" max="6221" width="9.296875" style="114" customWidth="1"/>
    <col min="6222" max="6222" width="8.296875" style="114" customWidth="1"/>
    <col min="6223" max="6223" width="10.59765625" style="114" customWidth="1"/>
    <col min="6224" max="6224" width="41.59765625" style="114" customWidth="1"/>
    <col min="6225" max="6469" width="9" style="114"/>
    <col min="6470" max="6470" width="1.19921875" style="114" customWidth="1"/>
    <col min="6471" max="6471" width="53.69921875" style="114" customWidth="1"/>
    <col min="6472" max="6476" width="10.59765625" style="114" customWidth="1"/>
    <col min="6477" max="6477" width="9.296875" style="114" customWidth="1"/>
    <col min="6478" max="6478" width="8.296875" style="114" customWidth="1"/>
    <col min="6479" max="6479" width="10.59765625" style="114" customWidth="1"/>
    <col min="6480" max="6480" width="41.59765625" style="114" customWidth="1"/>
    <col min="6481" max="6725" width="9" style="114"/>
    <col min="6726" max="6726" width="1.19921875" style="114" customWidth="1"/>
    <col min="6727" max="6727" width="53.69921875" style="114" customWidth="1"/>
    <col min="6728" max="6732" width="10.59765625" style="114" customWidth="1"/>
    <col min="6733" max="6733" width="9.296875" style="114" customWidth="1"/>
    <col min="6734" max="6734" width="8.296875" style="114" customWidth="1"/>
    <col min="6735" max="6735" width="10.59765625" style="114" customWidth="1"/>
    <col min="6736" max="6736" width="41.59765625" style="114" customWidth="1"/>
    <col min="6737" max="6981" width="9" style="114"/>
    <col min="6982" max="6982" width="1.19921875" style="114" customWidth="1"/>
    <col min="6983" max="6983" width="53.69921875" style="114" customWidth="1"/>
    <col min="6984" max="6988" width="10.59765625" style="114" customWidth="1"/>
    <col min="6989" max="6989" width="9.296875" style="114" customWidth="1"/>
    <col min="6990" max="6990" width="8.296875" style="114" customWidth="1"/>
    <col min="6991" max="6991" width="10.59765625" style="114" customWidth="1"/>
    <col min="6992" max="6992" width="41.59765625" style="114" customWidth="1"/>
    <col min="6993" max="7237" width="9" style="114"/>
    <col min="7238" max="7238" width="1.19921875" style="114" customWidth="1"/>
    <col min="7239" max="7239" width="53.69921875" style="114" customWidth="1"/>
    <col min="7240" max="7244" width="10.59765625" style="114" customWidth="1"/>
    <col min="7245" max="7245" width="9.296875" style="114" customWidth="1"/>
    <col min="7246" max="7246" width="8.296875" style="114" customWidth="1"/>
    <col min="7247" max="7247" width="10.59765625" style="114" customWidth="1"/>
    <col min="7248" max="7248" width="41.59765625" style="114" customWidth="1"/>
    <col min="7249" max="7493" width="9" style="114"/>
    <col min="7494" max="7494" width="1.19921875" style="114" customWidth="1"/>
    <col min="7495" max="7495" width="53.69921875" style="114" customWidth="1"/>
    <col min="7496" max="7500" width="10.59765625" style="114" customWidth="1"/>
    <col min="7501" max="7501" width="9.296875" style="114" customWidth="1"/>
    <col min="7502" max="7502" width="8.296875" style="114" customWidth="1"/>
    <col min="7503" max="7503" width="10.59765625" style="114" customWidth="1"/>
    <col min="7504" max="7504" width="41.59765625" style="114" customWidth="1"/>
    <col min="7505" max="7749" width="9" style="114"/>
    <col min="7750" max="7750" width="1.19921875" style="114" customWidth="1"/>
    <col min="7751" max="7751" width="53.69921875" style="114" customWidth="1"/>
    <col min="7752" max="7756" width="10.59765625" style="114" customWidth="1"/>
    <col min="7757" max="7757" width="9.296875" style="114" customWidth="1"/>
    <col min="7758" max="7758" width="8.296875" style="114" customWidth="1"/>
    <col min="7759" max="7759" width="10.59765625" style="114" customWidth="1"/>
    <col min="7760" max="7760" width="41.59765625" style="114" customWidth="1"/>
    <col min="7761" max="8005" width="9" style="114"/>
    <col min="8006" max="8006" width="1.19921875" style="114" customWidth="1"/>
    <col min="8007" max="8007" width="53.69921875" style="114" customWidth="1"/>
    <col min="8008" max="8012" width="10.59765625" style="114" customWidth="1"/>
    <col min="8013" max="8013" width="9.296875" style="114" customWidth="1"/>
    <col min="8014" max="8014" width="8.296875" style="114" customWidth="1"/>
    <col min="8015" max="8015" width="10.59765625" style="114" customWidth="1"/>
    <col min="8016" max="8016" width="41.59765625" style="114" customWidth="1"/>
    <col min="8017" max="8261" width="9" style="114"/>
    <col min="8262" max="8262" width="1.19921875" style="114" customWidth="1"/>
    <col min="8263" max="8263" width="53.69921875" style="114" customWidth="1"/>
    <col min="8264" max="8268" width="10.59765625" style="114" customWidth="1"/>
    <col min="8269" max="8269" width="9.296875" style="114" customWidth="1"/>
    <col min="8270" max="8270" width="8.296875" style="114" customWidth="1"/>
    <col min="8271" max="8271" width="10.59765625" style="114" customWidth="1"/>
    <col min="8272" max="8272" width="41.59765625" style="114" customWidth="1"/>
    <col min="8273" max="8517" width="9" style="114"/>
    <col min="8518" max="8518" width="1.19921875" style="114" customWidth="1"/>
    <col min="8519" max="8519" width="53.69921875" style="114" customWidth="1"/>
    <col min="8520" max="8524" width="10.59765625" style="114" customWidth="1"/>
    <col min="8525" max="8525" width="9.296875" style="114" customWidth="1"/>
    <col min="8526" max="8526" width="8.296875" style="114" customWidth="1"/>
    <col min="8527" max="8527" width="10.59765625" style="114" customWidth="1"/>
    <col min="8528" max="8528" width="41.59765625" style="114" customWidth="1"/>
    <col min="8529" max="8773" width="9" style="114"/>
    <col min="8774" max="8774" width="1.19921875" style="114" customWidth="1"/>
    <col min="8775" max="8775" width="53.69921875" style="114" customWidth="1"/>
    <col min="8776" max="8780" width="10.59765625" style="114" customWidth="1"/>
    <col min="8781" max="8781" width="9.296875" style="114" customWidth="1"/>
    <col min="8782" max="8782" width="8.296875" style="114" customWidth="1"/>
    <col min="8783" max="8783" width="10.59765625" style="114" customWidth="1"/>
    <col min="8784" max="8784" width="41.59765625" style="114" customWidth="1"/>
    <col min="8785" max="9029" width="9" style="114"/>
    <col min="9030" max="9030" width="1.19921875" style="114" customWidth="1"/>
    <col min="9031" max="9031" width="53.69921875" style="114" customWidth="1"/>
    <col min="9032" max="9036" width="10.59765625" style="114" customWidth="1"/>
    <col min="9037" max="9037" width="9.296875" style="114" customWidth="1"/>
    <col min="9038" max="9038" width="8.296875" style="114" customWidth="1"/>
    <col min="9039" max="9039" width="10.59765625" style="114" customWidth="1"/>
    <col min="9040" max="9040" width="41.59765625" style="114" customWidth="1"/>
    <col min="9041" max="9285" width="9" style="114"/>
    <col min="9286" max="9286" width="1.19921875" style="114" customWidth="1"/>
    <col min="9287" max="9287" width="53.69921875" style="114" customWidth="1"/>
    <col min="9288" max="9292" width="10.59765625" style="114" customWidth="1"/>
    <col min="9293" max="9293" width="9.296875" style="114" customWidth="1"/>
    <col min="9294" max="9294" width="8.296875" style="114" customWidth="1"/>
    <col min="9295" max="9295" width="10.59765625" style="114" customWidth="1"/>
    <col min="9296" max="9296" width="41.59765625" style="114" customWidth="1"/>
    <col min="9297" max="9541" width="9" style="114"/>
    <col min="9542" max="9542" width="1.19921875" style="114" customWidth="1"/>
    <col min="9543" max="9543" width="53.69921875" style="114" customWidth="1"/>
    <col min="9544" max="9548" width="10.59765625" style="114" customWidth="1"/>
    <col min="9549" max="9549" width="9.296875" style="114" customWidth="1"/>
    <col min="9550" max="9550" width="8.296875" style="114" customWidth="1"/>
    <col min="9551" max="9551" width="10.59765625" style="114" customWidth="1"/>
    <col min="9552" max="9552" width="41.59765625" style="114" customWidth="1"/>
    <col min="9553" max="9797" width="9" style="114"/>
    <col min="9798" max="9798" width="1.19921875" style="114" customWidth="1"/>
    <col min="9799" max="9799" width="53.69921875" style="114" customWidth="1"/>
    <col min="9800" max="9804" width="10.59765625" style="114" customWidth="1"/>
    <col min="9805" max="9805" width="9.296875" style="114" customWidth="1"/>
    <col min="9806" max="9806" width="8.296875" style="114" customWidth="1"/>
    <col min="9807" max="9807" width="10.59765625" style="114" customWidth="1"/>
    <col min="9808" max="9808" width="41.59765625" style="114" customWidth="1"/>
    <col min="9809" max="10053" width="9" style="114"/>
    <col min="10054" max="10054" width="1.19921875" style="114" customWidth="1"/>
    <col min="10055" max="10055" width="53.69921875" style="114" customWidth="1"/>
    <col min="10056" max="10060" width="10.59765625" style="114" customWidth="1"/>
    <col min="10061" max="10061" width="9.296875" style="114" customWidth="1"/>
    <col min="10062" max="10062" width="8.296875" style="114" customWidth="1"/>
    <col min="10063" max="10063" width="10.59765625" style="114" customWidth="1"/>
    <col min="10064" max="10064" width="41.59765625" style="114" customWidth="1"/>
    <col min="10065" max="10309" width="9" style="114"/>
    <col min="10310" max="10310" width="1.19921875" style="114" customWidth="1"/>
    <col min="10311" max="10311" width="53.69921875" style="114" customWidth="1"/>
    <col min="10312" max="10316" width="10.59765625" style="114" customWidth="1"/>
    <col min="10317" max="10317" width="9.296875" style="114" customWidth="1"/>
    <col min="10318" max="10318" width="8.296875" style="114" customWidth="1"/>
    <col min="10319" max="10319" width="10.59765625" style="114" customWidth="1"/>
    <col min="10320" max="10320" width="41.59765625" style="114" customWidth="1"/>
    <col min="10321" max="10565" width="9" style="114"/>
    <col min="10566" max="10566" width="1.19921875" style="114" customWidth="1"/>
    <col min="10567" max="10567" width="53.69921875" style="114" customWidth="1"/>
    <col min="10568" max="10572" width="10.59765625" style="114" customWidth="1"/>
    <col min="10573" max="10573" width="9.296875" style="114" customWidth="1"/>
    <col min="10574" max="10574" width="8.296875" style="114" customWidth="1"/>
    <col min="10575" max="10575" width="10.59765625" style="114" customWidth="1"/>
    <col min="10576" max="10576" width="41.59765625" style="114" customWidth="1"/>
    <col min="10577" max="10821" width="9" style="114"/>
    <col min="10822" max="10822" width="1.19921875" style="114" customWidth="1"/>
    <col min="10823" max="10823" width="53.69921875" style="114" customWidth="1"/>
    <col min="10824" max="10828" width="10.59765625" style="114" customWidth="1"/>
    <col min="10829" max="10829" width="9.296875" style="114" customWidth="1"/>
    <col min="10830" max="10830" width="8.296875" style="114" customWidth="1"/>
    <col min="10831" max="10831" width="10.59765625" style="114" customWidth="1"/>
    <col min="10832" max="10832" width="41.59765625" style="114" customWidth="1"/>
    <col min="10833" max="11077" width="9" style="114"/>
    <col min="11078" max="11078" width="1.19921875" style="114" customWidth="1"/>
    <col min="11079" max="11079" width="53.69921875" style="114" customWidth="1"/>
    <col min="11080" max="11084" width="10.59765625" style="114" customWidth="1"/>
    <col min="11085" max="11085" width="9.296875" style="114" customWidth="1"/>
    <col min="11086" max="11086" width="8.296875" style="114" customWidth="1"/>
    <col min="11087" max="11087" width="10.59765625" style="114" customWidth="1"/>
    <col min="11088" max="11088" width="41.59765625" style="114" customWidth="1"/>
    <col min="11089" max="11333" width="9" style="114"/>
    <col min="11334" max="11334" width="1.19921875" style="114" customWidth="1"/>
    <col min="11335" max="11335" width="53.69921875" style="114" customWidth="1"/>
    <col min="11336" max="11340" width="10.59765625" style="114" customWidth="1"/>
    <col min="11341" max="11341" width="9.296875" style="114" customWidth="1"/>
    <col min="11342" max="11342" width="8.296875" style="114" customWidth="1"/>
    <col min="11343" max="11343" width="10.59765625" style="114" customWidth="1"/>
    <col min="11344" max="11344" width="41.59765625" style="114" customWidth="1"/>
    <col min="11345" max="11589" width="9" style="114"/>
    <col min="11590" max="11590" width="1.19921875" style="114" customWidth="1"/>
    <col min="11591" max="11591" width="53.69921875" style="114" customWidth="1"/>
    <col min="11592" max="11596" width="10.59765625" style="114" customWidth="1"/>
    <col min="11597" max="11597" width="9.296875" style="114" customWidth="1"/>
    <col min="11598" max="11598" width="8.296875" style="114" customWidth="1"/>
    <col min="11599" max="11599" width="10.59765625" style="114" customWidth="1"/>
    <col min="11600" max="11600" width="41.59765625" style="114" customWidth="1"/>
    <col min="11601" max="11845" width="9" style="114"/>
    <col min="11846" max="11846" width="1.19921875" style="114" customWidth="1"/>
    <col min="11847" max="11847" width="53.69921875" style="114" customWidth="1"/>
    <col min="11848" max="11852" width="10.59765625" style="114" customWidth="1"/>
    <col min="11853" max="11853" width="9.296875" style="114" customWidth="1"/>
    <col min="11854" max="11854" width="8.296875" style="114" customWidth="1"/>
    <col min="11855" max="11855" width="10.59765625" style="114" customWidth="1"/>
    <col min="11856" max="11856" width="41.59765625" style="114" customWidth="1"/>
    <col min="11857" max="12101" width="9" style="114"/>
    <col min="12102" max="12102" width="1.19921875" style="114" customWidth="1"/>
    <col min="12103" max="12103" width="53.69921875" style="114" customWidth="1"/>
    <col min="12104" max="12108" width="10.59765625" style="114" customWidth="1"/>
    <col min="12109" max="12109" width="9.296875" style="114" customWidth="1"/>
    <col min="12110" max="12110" width="8.296875" style="114" customWidth="1"/>
    <col min="12111" max="12111" width="10.59765625" style="114" customWidth="1"/>
    <col min="12112" max="12112" width="41.59765625" style="114" customWidth="1"/>
    <col min="12113" max="12357" width="9" style="114"/>
    <col min="12358" max="12358" width="1.19921875" style="114" customWidth="1"/>
    <col min="12359" max="12359" width="53.69921875" style="114" customWidth="1"/>
    <col min="12360" max="12364" width="10.59765625" style="114" customWidth="1"/>
    <col min="12365" max="12365" width="9.296875" style="114" customWidth="1"/>
    <col min="12366" max="12366" width="8.296875" style="114" customWidth="1"/>
    <col min="12367" max="12367" width="10.59765625" style="114" customWidth="1"/>
    <col min="12368" max="12368" width="41.59765625" style="114" customWidth="1"/>
    <col min="12369" max="12613" width="9" style="114"/>
    <col min="12614" max="12614" width="1.19921875" style="114" customWidth="1"/>
    <col min="12615" max="12615" width="53.69921875" style="114" customWidth="1"/>
    <col min="12616" max="12620" width="10.59765625" style="114" customWidth="1"/>
    <col min="12621" max="12621" width="9.296875" style="114" customWidth="1"/>
    <col min="12622" max="12622" width="8.296875" style="114" customWidth="1"/>
    <col min="12623" max="12623" width="10.59765625" style="114" customWidth="1"/>
    <col min="12624" max="12624" width="41.59765625" style="114" customWidth="1"/>
    <col min="12625" max="12869" width="9" style="114"/>
    <col min="12870" max="12870" width="1.19921875" style="114" customWidth="1"/>
    <col min="12871" max="12871" width="53.69921875" style="114" customWidth="1"/>
    <col min="12872" max="12876" width="10.59765625" style="114" customWidth="1"/>
    <col min="12877" max="12877" width="9.296875" style="114" customWidth="1"/>
    <col min="12878" max="12878" width="8.296875" style="114" customWidth="1"/>
    <col min="12879" max="12879" width="10.59765625" style="114" customWidth="1"/>
    <col min="12880" max="12880" width="41.59765625" style="114" customWidth="1"/>
    <col min="12881" max="13125" width="9" style="114"/>
    <col min="13126" max="13126" width="1.19921875" style="114" customWidth="1"/>
    <col min="13127" max="13127" width="53.69921875" style="114" customWidth="1"/>
    <col min="13128" max="13132" width="10.59765625" style="114" customWidth="1"/>
    <col min="13133" max="13133" width="9.296875" style="114" customWidth="1"/>
    <col min="13134" max="13134" width="8.296875" style="114" customWidth="1"/>
    <col min="13135" max="13135" width="10.59765625" style="114" customWidth="1"/>
    <col min="13136" max="13136" width="41.59765625" style="114" customWidth="1"/>
    <col min="13137" max="13381" width="9" style="114"/>
    <col min="13382" max="13382" width="1.19921875" style="114" customWidth="1"/>
    <col min="13383" max="13383" width="53.69921875" style="114" customWidth="1"/>
    <col min="13384" max="13388" width="10.59765625" style="114" customWidth="1"/>
    <col min="13389" max="13389" width="9.296875" style="114" customWidth="1"/>
    <col min="13390" max="13390" width="8.296875" style="114" customWidth="1"/>
    <col min="13391" max="13391" width="10.59765625" style="114" customWidth="1"/>
    <col min="13392" max="13392" width="41.59765625" style="114" customWidth="1"/>
    <col min="13393" max="13637" width="9" style="114"/>
    <col min="13638" max="13638" width="1.19921875" style="114" customWidth="1"/>
    <col min="13639" max="13639" width="53.69921875" style="114" customWidth="1"/>
    <col min="13640" max="13644" width="10.59765625" style="114" customWidth="1"/>
    <col min="13645" max="13645" width="9.296875" style="114" customWidth="1"/>
    <col min="13646" max="13646" width="8.296875" style="114" customWidth="1"/>
    <col min="13647" max="13647" width="10.59765625" style="114" customWidth="1"/>
    <col min="13648" max="13648" width="41.59765625" style="114" customWidth="1"/>
    <col min="13649" max="13893" width="9" style="114"/>
    <col min="13894" max="13894" width="1.19921875" style="114" customWidth="1"/>
    <col min="13895" max="13895" width="53.69921875" style="114" customWidth="1"/>
    <col min="13896" max="13900" width="10.59765625" style="114" customWidth="1"/>
    <col min="13901" max="13901" width="9.296875" style="114" customWidth="1"/>
    <col min="13902" max="13902" width="8.296875" style="114" customWidth="1"/>
    <col min="13903" max="13903" width="10.59765625" style="114" customWidth="1"/>
    <col min="13904" max="13904" width="41.59765625" style="114" customWidth="1"/>
    <col min="13905" max="14149" width="9" style="114"/>
    <col min="14150" max="14150" width="1.19921875" style="114" customWidth="1"/>
    <col min="14151" max="14151" width="53.69921875" style="114" customWidth="1"/>
    <col min="14152" max="14156" width="10.59765625" style="114" customWidth="1"/>
    <col min="14157" max="14157" width="9.296875" style="114" customWidth="1"/>
    <col min="14158" max="14158" width="8.296875" style="114" customWidth="1"/>
    <col min="14159" max="14159" width="10.59765625" style="114" customWidth="1"/>
    <col min="14160" max="14160" width="41.59765625" style="114" customWidth="1"/>
    <col min="14161" max="14405" width="9" style="114"/>
    <col min="14406" max="14406" width="1.19921875" style="114" customWidth="1"/>
    <col min="14407" max="14407" width="53.69921875" style="114" customWidth="1"/>
    <col min="14408" max="14412" width="10.59765625" style="114" customWidth="1"/>
    <col min="14413" max="14413" width="9.296875" style="114" customWidth="1"/>
    <col min="14414" max="14414" width="8.296875" style="114" customWidth="1"/>
    <col min="14415" max="14415" width="10.59765625" style="114" customWidth="1"/>
    <col min="14416" max="14416" width="41.59765625" style="114" customWidth="1"/>
    <col min="14417" max="14661" width="9" style="114"/>
    <col min="14662" max="14662" width="1.19921875" style="114" customWidth="1"/>
    <col min="14663" max="14663" width="53.69921875" style="114" customWidth="1"/>
    <col min="14664" max="14668" width="10.59765625" style="114" customWidth="1"/>
    <col min="14669" max="14669" width="9.296875" style="114" customWidth="1"/>
    <col min="14670" max="14670" width="8.296875" style="114" customWidth="1"/>
    <col min="14671" max="14671" width="10.59765625" style="114" customWidth="1"/>
    <col min="14672" max="14672" width="41.59765625" style="114" customWidth="1"/>
    <col min="14673" max="14917" width="9" style="114"/>
    <col min="14918" max="14918" width="1.19921875" style="114" customWidth="1"/>
    <col min="14919" max="14919" width="53.69921875" style="114" customWidth="1"/>
    <col min="14920" max="14924" width="10.59765625" style="114" customWidth="1"/>
    <col min="14925" max="14925" width="9.296875" style="114" customWidth="1"/>
    <col min="14926" max="14926" width="8.296875" style="114" customWidth="1"/>
    <col min="14927" max="14927" width="10.59765625" style="114" customWidth="1"/>
    <col min="14928" max="14928" width="41.59765625" style="114" customWidth="1"/>
    <col min="14929" max="15173" width="9" style="114"/>
    <col min="15174" max="15174" width="1.19921875" style="114" customWidth="1"/>
    <col min="15175" max="15175" width="53.69921875" style="114" customWidth="1"/>
    <col min="15176" max="15180" width="10.59765625" style="114" customWidth="1"/>
    <col min="15181" max="15181" width="9.296875" style="114" customWidth="1"/>
    <col min="15182" max="15182" width="8.296875" style="114" customWidth="1"/>
    <col min="15183" max="15183" width="10.59765625" style="114" customWidth="1"/>
    <col min="15184" max="15184" width="41.59765625" style="114" customWidth="1"/>
    <col min="15185" max="15429" width="9" style="114"/>
    <col min="15430" max="15430" width="1.19921875" style="114" customWidth="1"/>
    <col min="15431" max="15431" width="53.69921875" style="114" customWidth="1"/>
    <col min="15432" max="15436" width="10.59765625" style="114" customWidth="1"/>
    <col min="15437" max="15437" width="9.296875" style="114" customWidth="1"/>
    <col min="15438" max="15438" width="8.296875" style="114" customWidth="1"/>
    <col min="15439" max="15439" width="10.59765625" style="114" customWidth="1"/>
    <col min="15440" max="15440" width="41.59765625" style="114" customWidth="1"/>
    <col min="15441" max="15685" width="9" style="114"/>
    <col min="15686" max="15686" width="1.19921875" style="114" customWidth="1"/>
    <col min="15687" max="15687" width="53.69921875" style="114" customWidth="1"/>
    <col min="15688" max="15692" width="10.59765625" style="114" customWidth="1"/>
    <col min="15693" max="15693" width="9.296875" style="114" customWidth="1"/>
    <col min="15694" max="15694" width="8.296875" style="114" customWidth="1"/>
    <col min="15695" max="15695" width="10.59765625" style="114" customWidth="1"/>
    <col min="15696" max="15696" width="41.59765625" style="114" customWidth="1"/>
    <col min="15697" max="15941" width="9" style="114"/>
    <col min="15942" max="15942" width="1.19921875" style="114" customWidth="1"/>
    <col min="15943" max="15943" width="53.69921875" style="114" customWidth="1"/>
    <col min="15944" max="15948" width="10.59765625" style="114" customWidth="1"/>
    <col min="15949" max="15949" width="9.296875" style="114" customWidth="1"/>
    <col min="15950" max="15950" width="8.296875" style="114" customWidth="1"/>
    <col min="15951" max="15951" width="10.59765625" style="114" customWidth="1"/>
    <col min="15952" max="15952" width="41.59765625" style="114" customWidth="1"/>
    <col min="15953" max="16384" width="9" style="114"/>
  </cols>
  <sheetData>
    <row r="1" spans="1:7" ht="13.8" x14ac:dyDescent="0.25">
      <c r="A1" s="11" t="s">
        <v>22</v>
      </c>
      <c r="B1" s="71"/>
      <c r="C1" s="61"/>
      <c r="D1" s="1"/>
      <c r="E1" s="1"/>
      <c r="F1" s="1"/>
      <c r="G1" s="1"/>
    </row>
    <row r="2" spans="1:7" x14ac:dyDescent="0.25">
      <c r="A2" s="61"/>
      <c r="B2" s="71"/>
      <c r="C2" s="61"/>
      <c r="D2" s="1"/>
      <c r="E2" s="1"/>
      <c r="F2" s="1"/>
      <c r="G2" s="1"/>
    </row>
    <row r="3" spans="1:7" ht="15" customHeight="1" x14ac:dyDescent="0.25">
      <c r="A3" s="11" t="s">
        <v>847</v>
      </c>
      <c r="B3" s="11"/>
      <c r="C3" s="11"/>
      <c r="D3" s="1"/>
      <c r="E3" s="1"/>
      <c r="F3" s="1"/>
      <c r="G3" s="1"/>
    </row>
    <row r="4" spans="1:7" ht="15" customHeight="1" x14ac:dyDescent="0.25">
      <c r="A4" s="11"/>
      <c r="B4" s="11"/>
      <c r="C4" s="11"/>
      <c r="D4" s="1"/>
      <c r="E4" s="1"/>
      <c r="F4" s="1"/>
      <c r="G4" s="1"/>
    </row>
    <row r="5" spans="1:7" ht="88.5" customHeight="1" x14ac:dyDescent="0.25">
      <c r="A5" s="673" t="s">
        <v>848</v>
      </c>
      <c r="B5" s="673"/>
      <c r="C5" s="673"/>
      <c r="D5" s="673"/>
      <c r="E5" s="673"/>
      <c r="F5" s="1"/>
      <c r="G5" s="1"/>
    </row>
    <row r="6" spans="1:7" ht="158.25" customHeight="1" x14ac:dyDescent="0.25">
      <c r="A6" s="673" t="s">
        <v>112</v>
      </c>
      <c r="B6" s="673"/>
      <c r="C6" s="673"/>
      <c r="D6" s="673"/>
      <c r="E6" s="673"/>
      <c r="F6" s="673"/>
      <c r="G6" s="673"/>
    </row>
    <row r="7" spans="1:7" ht="14.4" thickBot="1" x14ac:dyDescent="0.3">
      <c r="A7" s="83"/>
      <c r="B7" s="99"/>
      <c r="C7" s="84"/>
      <c r="D7" s="83"/>
      <c r="E7" s="83"/>
      <c r="F7" s="83"/>
      <c r="G7" s="1"/>
    </row>
    <row r="8" spans="1:7" ht="55.5" customHeight="1" thickBot="1" x14ac:dyDescent="0.3">
      <c r="A8" s="119"/>
      <c r="B8" s="119" t="s">
        <v>205</v>
      </c>
      <c r="C8" s="119" t="s">
        <v>96</v>
      </c>
      <c r="D8" s="119" t="s">
        <v>97</v>
      </c>
      <c r="E8" s="119" t="s">
        <v>113</v>
      </c>
      <c r="F8" s="119" t="s">
        <v>114</v>
      </c>
      <c r="G8" s="1"/>
    </row>
    <row r="9" spans="1:7" ht="13.8" x14ac:dyDescent="0.25">
      <c r="A9" s="350"/>
      <c r="B9" s="350"/>
      <c r="C9" s="38"/>
      <c r="D9" s="1"/>
      <c r="E9" s="1"/>
      <c r="F9" s="1"/>
      <c r="G9" s="1"/>
    </row>
    <row r="10" spans="1:7" ht="15.6" x14ac:dyDescent="0.25">
      <c r="A10" s="8" t="s">
        <v>98</v>
      </c>
      <c r="B10" s="526" t="s">
        <v>916</v>
      </c>
      <c r="C10" s="131"/>
      <c r="D10" s="529"/>
      <c r="E10" s="538"/>
      <c r="F10" s="538"/>
      <c r="G10" s="1"/>
    </row>
    <row r="11" spans="1:7" ht="13.8" x14ac:dyDescent="0.25">
      <c r="A11" s="350"/>
      <c r="B11" s="530"/>
      <c r="C11" s="496"/>
      <c r="D11" s="531"/>
      <c r="E11" s="539"/>
      <c r="F11" s="539"/>
      <c r="G11" s="1"/>
    </row>
    <row r="12" spans="1:7" ht="15" customHeight="1" x14ac:dyDescent="0.25">
      <c r="A12" s="8" t="s">
        <v>115</v>
      </c>
      <c r="B12" s="526" t="s">
        <v>917</v>
      </c>
      <c r="C12" s="131"/>
      <c r="D12" s="132"/>
      <c r="E12" s="538"/>
      <c r="F12" s="538"/>
      <c r="G12" s="1"/>
    </row>
    <row r="13" spans="1:7" ht="15" customHeight="1" x14ac:dyDescent="0.25">
      <c r="A13" s="352"/>
      <c r="B13" s="526"/>
      <c r="C13" s="103"/>
      <c r="D13" s="532"/>
      <c r="E13" s="532"/>
      <c r="F13" s="532"/>
      <c r="G13" s="1"/>
    </row>
    <row r="14" spans="1:7" ht="15" customHeight="1" x14ac:dyDescent="0.25">
      <c r="A14" s="8" t="s">
        <v>116</v>
      </c>
      <c r="C14" s="103"/>
      <c r="D14" s="532"/>
      <c r="E14" s="532"/>
      <c r="F14" s="532"/>
      <c r="G14" s="1"/>
    </row>
    <row r="15" spans="1:7" ht="15" customHeight="1" x14ac:dyDescent="0.25">
      <c r="A15" s="67" t="s">
        <v>960</v>
      </c>
      <c r="B15" s="526" t="s">
        <v>918</v>
      </c>
      <c r="C15" s="115"/>
      <c r="D15" s="533"/>
      <c r="E15" s="533"/>
      <c r="F15" s="533"/>
      <c r="G15" s="1"/>
    </row>
    <row r="16" spans="1:7" ht="15" customHeight="1" x14ac:dyDescent="0.25">
      <c r="A16" s="69" t="s">
        <v>961</v>
      </c>
      <c r="B16" s="534"/>
      <c r="C16" s="103"/>
      <c r="D16" s="535"/>
      <c r="E16" s="535"/>
      <c r="F16" s="535"/>
      <c r="G16" s="1"/>
    </row>
    <row r="17" spans="1:19" ht="15" customHeight="1" x14ac:dyDescent="0.25">
      <c r="A17" s="69" t="s">
        <v>962</v>
      </c>
      <c r="B17" s="534"/>
      <c r="C17" s="103"/>
      <c r="D17" s="535"/>
      <c r="E17" s="535"/>
      <c r="F17" s="535"/>
      <c r="G17" s="1"/>
      <c r="H17" s="1"/>
      <c r="I17" s="1"/>
      <c r="J17" s="1"/>
      <c r="K17" s="1"/>
      <c r="L17" s="1"/>
      <c r="M17" s="1"/>
      <c r="N17" s="1"/>
      <c r="O17" s="1"/>
      <c r="P17" s="1"/>
      <c r="Q17" s="1"/>
      <c r="R17" s="1"/>
      <c r="S17" s="1"/>
    </row>
    <row r="18" spans="1:19" ht="15" customHeight="1" x14ac:dyDescent="0.25">
      <c r="A18" s="69" t="s">
        <v>963</v>
      </c>
      <c r="B18" s="534"/>
      <c r="C18" s="103"/>
      <c r="D18" s="536"/>
      <c r="E18" s="535"/>
      <c r="F18" s="535"/>
      <c r="G18" s="1"/>
      <c r="H18" s="1"/>
      <c r="I18" s="1"/>
      <c r="J18" s="1"/>
      <c r="K18" s="1"/>
      <c r="L18" s="1"/>
      <c r="M18" s="1"/>
      <c r="N18" s="1"/>
      <c r="O18" s="1"/>
      <c r="P18" s="1"/>
      <c r="Q18" s="1"/>
      <c r="R18" s="1"/>
      <c r="S18" s="1"/>
    </row>
    <row r="19" spans="1:19" s="1" customFormat="1" ht="13.5" customHeight="1" x14ac:dyDescent="0.25">
      <c r="A19" s="69" t="s">
        <v>964</v>
      </c>
      <c r="B19" s="89"/>
      <c r="C19" s="103"/>
      <c r="D19" s="540"/>
      <c r="E19" s="540"/>
      <c r="F19" s="540"/>
      <c r="L19" s="60"/>
      <c r="N19" s="38"/>
      <c r="P19" s="38"/>
      <c r="R19" s="68"/>
      <c r="S19" s="38"/>
    </row>
    <row r="20" spans="1:19" ht="15" customHeight="1" x14ac:dyDescent="0.25">
      <c r="A20" s="69"/>
      <c r="B20" s="215"/>
      <c r="C20" s="103"/>
      <c r="D20" s="532"/>
      <c r="E20" s="532"/>
      <c r="F20" s="532"/>
      <c r="G20" s="1"/>
      <c r="H20" s="1"/>
      <c r="I20" s="1"/>
      <c r="J20" s="1"/>
      <c r="K20" s="1"/>
      <c r="L20" s="1"/>
      <c r="M20" s="1"/>
      <c r="N20" s="1"/>
      <c r="O20" s="1"/>
      <c r="P20" s="1"/>
      <c r="Q20" s="1"/>
      <c r="R20" s="1"/>
      <c r="S20" s="1"/>
    </row>
    <row r="21" spans="1:19" ht="15" customHeight="1" x14ac:dyDescent="0.25">
      <c r="A21" s="67" t="s">
        <v>965</v>
      </c>
      <c r="B21" s="526" t="s">
        <v>919</v>
      </c>
      <c r="C21" s="115"/>
      <c r="D21" s="533"/>
      <c r="E21" s="533"/>
      <c r="F21" s="533"/>
      <c r="G21" s="1"/>
      <c r="H21" s="1"/>
      <c r="I21" s="1"/>
      <c r="J21" s="1"/>
      <c r="K21" s="1"/>
      <c r="L21" s="1"/>
      <c r="M21" s="1"/>
      <c r="N21" s="1"/>
      <c r="O21" s="1"/>
      <c r="P21" s="1"/>
      <c r="Q21" s="1"/>
      <c r="R21" s="1"/>
      <c r="S21" s="1"/>
    </row>
    <row r="22" spans="1:19" ht="15" customHeight="1" x14ac:dyDescent="0.25">
      <c r="A22" s="69" t="s">
        <v>966</v>
      </c>
      <c r="B22" s="534"/>
      <c r="C22" s="103"/>
      <c r="D22" s="535"/>
      <c r="E22" s="535"/>
      <c r="F22" s="535"/>
      <c r="G22" s="1"/>
      <c r="H22" s="1"/>
      <c r="I22" s="1"/>
      <c r="J22" s="1"/>
      <c r="K22" s="1"/>
      <c r="L22" s="1"/>
      <c r="M22" s="1"/>
      <c r="N22" s="1"/>
      <c r="O22" s="1"/>
      <c r="P22" s="1"/>
      <c r="Q22" s="1"/>
      <c r="R22" s="1"/>
      <c r="S22" s="1"/>
    </row>
    <row r="23" spans="1:19" ht="15" customHeight="1" x14ac:dyDescent="0.25">
      <c r="A23" s="69" t="s">
        <v>967</v>
      </c>
      <c r="B23" s="534"/>
      <c r="C23" s="103"/>
      <c r="D23" s="535"/>
      <c r="E23" s="535"/>
      <c r="F23" s="535"/>
      <c r="G23" s="1"/>
      <c r="H23" s="1"/>
      <c r="I23" s="1"/>
      <c r="J23" s="1"/>
      <c r="K23" s="1"/>
      <c r="L23" s="1"/>
      <c r="M23" s="1"/>
      <c r="N23" s="1"/>
      <c r="O23" s="1"/>
      <c r="P23" s="1"/>
      <c r="Q23" s="1"/>
      <c r="R23" s="1"/>
      <c r="S23" s="1"/>
    </row>
    <row r="24" spans="1:19" ht="15" customHeight="1" x14ac:dyDescent="0.25">
      <c r="A24" s="69" t="s">
        <v>968</v>
      </c>
      <c r="B24" s="534"/>
      <c r="C24" s="103"/>
      <c r="D24" s="535"/>
      <c r="E24" s="535"/>
      <c r="F24" s="535"/>
      <c r="G24" s="1"/>
      <c r="H24" s="1"/>
      <c r="I24" s="1"/>
      <c r="J24" s="1"/>
      <c r="K24" s="1"/>
      <c r="L24" s="1"/>
      <c r="M24" s="1"/>
      <c r="N24" s="1"/>
      <c r="O24" s="1"/>
      <c r="P24" s="1"/>
      <c r="Q24" s="1"/>
      <c r="R24" s="1"/>
      <c r="S24" s="1"/>
    </row>
    <row r="25" spans="1:19" ht="15" customHeight="1" x14ac:dyDescent="0.25">
      <c r="A25" s="69" t="s">
        <v>969</v>
      </c>
      <c r="B25" s="534"/>
      <c r="C25" s="273"/>
      <c r="D25" s="535"/>
      <c r="E25" s="535"/>
      <c r="F25" s="535"/>
      <c r="G25" s="1"/>
      <c r="H25" s="1"/>
      <c r="I25" s="1"/>
      <c r="J25" s="1"/>
      <c r="K25" s="1"/>
      <c r="L25" s="1"/>
      <c r="M25" s="1"/>
      <c r="N25" s="1"/>
      <c r="O25" s="1"/>
      <c r="P25" s="1"/>
      <c r="Q25" s="1"/>
      <c r="R25" s="1"/>
      <c r="S25" s="1"/>
    </row>
    <row r="26" spans="1:19" x14ac:dyDescent="0.25">
      <c r="A26" s="69"/>
      <c r="B26" s="215"/>
      <c r="C26" s="103"/>
      <c r="D26" s="532"/>
      <c r="E26" s="532"/>
      <c r="F26" s="532"/>
      <c r="G26" s="1"/>
      <c r="H26" s="1"/>
      <c r="I26" s="1"/>
      <c r="J26" s="1"/>
      <c r="K26" s="1"/>
      <c r="L26" s="1"/>
      <c r="M26" s="1"/>
      <c r="N26" s="1"/>
      <c r="O26" s="1"/>
      <c r="P26" s="1"/>
      <c r="Q26" s="1"/>
      <c r="R26" s="1"/>
      <c r="S26" s="1"/>
    </row>
    <row r="27" spans="1:19" x14ac:dyDescent="0.25">
      <c r="A27" s="67" t="s">
        <v>970</v>
      </c>
      <c r="B27" s="526" t="s">
        <v>920</v>
      </c>
      <c r="C27" s="115"/>
      <c r="D27" s="533"/>
      <c r="E27" s="533"/>
      <c r="F27" s="533"/>
      <c r="G27" s="1"/>
      <c r="H27" s="1"/>
      <c r="I27" s="1"/>
      <c r="J27" s="1"/>
      <c r="K27" s="1"/>
      <c r="L27" s="1"/>
      <c r="M27" s="1"/>
      <c r="N27" s="1"/>
      <c r="O27" s="1"/>
      <c r="P27" s="1"/>
      <c r="Q27" s="1"/>
      <c r="R27" s="1"/>
      <c r="S27" s="1"/>
    </row>
    <row r="28" spans="1:19" ht="15" customHeight="1" x14ac:dyDescent="0.25">
      <c r="A28" s="69" t="s">
        <v>971</v>
      </c>
      <c r="B28" s="534"/>
      <c r="C28" s="103"/>
      <c r="D28" s="535"/>
      <c r="E28" s="535"/>
      <c r="F28" s="535"/>
      <c r="G28" s="1"/>
      <c r="H28" s="1"/>
      <c r="I28" s="1"/>
      <c r="J28" s="1"/>
      <c r="K28" s="1"/>
      <c r="L28" s="1"/>
      <c r="M28" s="1"/>
      <c r="N28" s="1"/>
      <c r="O28" s="1"/>
      <c r="P28" s="1"/>
      <c r="Q28" s="1"/>
      <c r="R28" s="1"/>
      <c r="S28" s="1"/>
    </row>
    <row r="29" spans="1:19" ht="15" customHeight="1" x14ac:dyDescent="0.25">
      <c r="A29" s="69" t="s">
        <v>972</v>
      </c>
      <c r="B29" s="534"/>
      <c r="C29" s="103"/>
      <c r="D29" s="535"/>
      <c r="E29" s="535"/>
      <c r="F29" s="535"/>
      <c r="G29" s="1"/>
      <c r="H29" s="1"/>
      <c r="I29" s="1"/>
      <c r="J29" s="1"/>
      <c r="K29" s="1"/>
      <c r="L29" s="1"/>
      <c r="M29" s="1"/>
      <c r="N29" s="1"/>
      <c r="O29" s="1"/>
      <c r="P29" s="1"/>
      <c r="Q29" s="1"/>
      <c r="R29" s="1"/>
      <c r="S29" s="1"/>
    </row>
    <row r="30" spans="1:19" ht="15" customHeight="1" x14ac:dyDescent="0.25">
      <c r="A30" s="69" t="s">
        <v>973</v>
      </c>
      <c r="B30" s="534"/>
      <c r="C30" s="103"/>
      <c r="D30" s="535"/>
      <c r="E30" s="535"/>
      <c r="F30" s="535"/>
      <c r="G30" s="1"/>
      <c r="H30" s="1"/>
      <c r="I30" s="1"/>
      <c r="J30" s="1"/>
      <c r="K30" s="1"/>
      <c r="L30" s="1"/>
      <c r="M30" s="1"/>
      <c r="N30" s="1"/>
      <c r="O30" s="1"/>
      <c r="P30" s="1"/>
      <c r="Q30" s="1"/>
      <c r="R30" s="1"/>
      <c r="S30" s="1"/>
    </row>
    <row r="31" spans="1:19" ht="15" customHeight="1" x14ac:dyDescent="0.25">
      <c r="A31" s="69" t="s">
        <v>974</v>
      </c>
      <c r="B31" s="534"/>
      <c r="C31" s="103"/>
      <c r="D31" s="536"/>
      <c r="E31" s="535"/>
      <c r="F31" s="535"/>
      <c r="G31" s="1"/>
      <c r="H31" s="1"/>
      <c r="I31" s="1"/>
      <c r="J31" s="1"/>
      <c r="K31" s="1"/>
      <c r="L31" s="1"/>
      <c r="M31" s="1"/>
      <c r="N31" s="1"/>
      <c r="O31" s="1"/>
      <c r="P31" s="1"/>
      <c r="Q31" s="1"/>
      <c r="R31" s="1"/>
      <c r="S31" s="1"/>
    </row>
    <row r="32" spans="1:19" x14ac:dyDescent="0.25">
      <c r="A32" s="69" t="s">
        <v>983</v>
      </c>
      <c r="B32" s="215"/>
      <c r="C32" s="103"/>
      <c r="D32" s="532"/>
      <c r="E32" s="532"/>
      <c r="F32" s="532"/>
      <c r="G32" s="1"/>
      <c r="H32" s="1"/>
      <c r="I32" s="1"/>
      <c r="J32" s="1"/>
      <c r="K32" s="1"/>
      <c r="L32" s="1"/>
      <c r="M32" s="1"/>
      <c r="N32" s="1"/>
      <c r="O32" s="1"/>
      <c r="P32" s="1"/>
      <c r="Q32" s="1"/>
      <c r="R32" s="1"/>
      <c r="S32" s="1"/>
    </row>
    <row r="33" spans="1:16" x14ac:dyDescent="0.25">
      <c r="A33" s="67" t="s">
        <v>975</v>
      </c>
      <c r="B33" s="526" t="s">
        <v>921</v>
      </c>
      <c r="C33" s="115"/>
      <c r="D33" s="533"/>
      <c r="E33" s="533"/>
      <c r="F33" s="533"/>
      <c r="G33" s="1"/>
      <c r="H33" s="1"/>
      <c r="I33" s="1"/>
      <c r="J33" s="1"/>
      <c r="K33" s="1"/>
      <c r="L33" s="1"/>
      <c r="M33" s="1"/>
      <c r="N33" s="1"/>
      <c r="O33" s="1"/>
      <c r="P33" s="1"/>
    </row>
    <row r="34" spans="1:16" ht="15" customHeight="1" x14ac:dyDescent="0.25">
      <c r="A34" s="69" t="s">
        <v>976</v>
      </c>
      <c r="B34" s="534"/>
      <c r="C34" s="274"/>
      <c r="D34" s="535"/>
      <c r="E34" s="535"/>
      <c r="F34" s="535"/>
      <c r="G34" s="1"/>
      <c r="H34" s="76"/>
      <c r="I34" s="74"/>
      <c r="J34" s="73"/>
      <c r="K34" s="76"/>
      <c r="L34" s="74"/>
      <c r="M34" s="74"/>
      <c r="N34" s="74"/>
      <c r="O34" s="1"/>
      <c r="P34" s="1"/>
    </row>
    <row r="35" spans="1:16" ht="15" customHeight="1" x14ac:dyDescent="0.25">
      <c r="A35" s="69" t="s">
        <v>977</v>
      </c>
      <c r="B35" s="534"/>
      <c r="C35" s="274"/>
      <c r="D35" s="535"/>
      <c r="E35" s="535"/>
      <c r="F35" s="535"/>
      <c r="G35" s="1"/>
      <c r="H35" s="76"/>
      <c r="I35" s="74"/>
      <c r="J35" s="73"/>
      <c r="K35" s="76"/>
      <c r="L35" s="74"/>
      <c r="M35" s="74"/>
      <c r="N35" s="74"/>
      <c r="O35" s="1"/>
      <c r="P35" s="1"/>
    </row>
    <row r="36" spans="1:16" ht="15" customHeight="1" x14ac:dyDescent="0.25">
      <c r="A36" s="69" t="s">
        <v>978</v>
      </c>
      <c r="B36" s="534"/>
      <c r="C36" s="103"/>
      <c r="D36" s="535"/>
      <c r="E36" s="535"/>
      <c r="F36" s="535"/>
      <c r="G36" s="1"/>
      <c r="H36" s="1"/>
      <c r="I36" s="1"/>
      <c r="J36" s="1"/>
      <c r="K36" s="1"/>
      <c r="L36" s="1"/>
      <c r="M36" s="1"/>
      <c r="N36" s="1"/>
      <c r="O36" s="1"/>
      <c r="P36" s="1"/>
    </row>
    <row r="37" spans="1:16" x14ac:dyDescent="0.25">
      <c r="A37" s="69"/>
      <c r="B37" s="215"/>
      <c r="C37" s="103"/>
      <c r="D37" s="532"/>
      <c r="E37" s="532"/>
      <c r="F37" s="532"/>
      <c r="G37" s="1"/>
      <c r="H37" s="1"/>
      <c r="I37" s="1"/>
      <c r="J37" s="1"/>
      <c r="K37" s="1"/>
      <c r="L37" s="1"/>
      <c r="M37" s="1"/>
      <c r="N37" s="1"/>
      <c r="O37" s="1"/>
      <c r="P37" s="1"/>
    </row>
    <row r="38" spans="1:16" x14ac:dyDescent="0.25">
      <c r="A38" s="67" t="s">
        <v>979</v>
      </c>
      <c r="B38" s="526" t="s">
        <v>959</v>
      </c>
      <c r="C38" s="115"/>
      <c r="D38" s="533"/>
      <c r="E38" s="533"/>
      <c r="F38" s="533"/>
      <c r="G38" s="1"/>
      <c r="H38" s="1"/>
      <c r="I38" s="1"/>
      <c r="J38" s="1"/>
      <c r="K38" s="1"/>
      <c r="L38" s="1"/>
      <c r="M38" s="1"/>
      <c r="N38" s="1"/>
      <c r="O38" s="1"/>
      <c r="P38" s="1"/>
    </row>
    <row r="39" spans="1:16" ht="15" customHeight="1" x14ac:dyDescent="0.25">
      <c r="A39" s="69" t="s">
        <v>980</v>
      </c>
      <c r="B39" s="534"/>
      <c r="C39" s="103"/>
      <c r="D39" s="535"/>
      <c r="E39" s="535"/>
      <c r="F39" s="535"/>
      <c r="G39" s="1"/>
      <c r="H39" s="272"/>
      <c r="I39" s="1"/>
      <c r="J39" s="1"/>
      <c r="K39" s="1"/>
      <c r="L39" s="1"/>
      <c r="M39" s="1"/>
      <c r="N39" s="1"/>
      <c r="O39" s="1"/>
      <c r="P39" s="1"/>
    </row>
    <row r="40" spans="1:16" ht="15" customHeight="1" x14ac:dyDescent="0.25">
      <c r="A40" s="69" t="s">
        <v>981</v>
      </c>
      <c r="B40" s="534"/>
      <c r="C40" s="103"/>
      <c r="D40" s="535"/>
      <c r="E40" s="535"/>
      <c r="F40" s="535"/>
      <c r="G40" s="1"/>
      <c r="H40" s="1"/>
      <c r="I40" s="1"/>
      <c r="J40" s="1"/>
      <c r="K40" s="1"/>
      <c r="L40" s="1"/>
      <c r="M40" s="74"/>
      <c r="N40" s="74"/>
      <c r="O40" s="1"/>
      <c r="P40" s="1"/>
    </row>
    <row r="41" spans="1:16" s="1" customFormat="1" ht="15" customHeight="1" x14ac:dyDescent="0.25">
      <c r="A41" s="69" t="s">
        <v>982</v>
      </c>
      <c r="B41" s="89"/>
      <c r="C41" s="103"/>
      <c r="D41" s="540"/>
      <c r="E41" s="647"/>
      <c r="F41" s="647"/>
      <c r="I41" s="133"/>
      <c r="J41" s="134"/>
      <c r="M41" s="38"/>
      <c r="N41" s="38"/>
      <c r="O41" s="74"/>
      <c r="P41" s="73"/>
    </row>
    <row r="42" spans="1:16" ht="13.8" thickBot="1" x14ac:dyDescent="0.3">
      <c r="A42" s="82"/>
      <c r="B42" s="100"/>
      <c r="C42" s="101"/>
      <c r="D42" s="83"/>
      <c r="E42" s="83"/>
      <c r="F42" s="83"/>
      <c r="G42" s="1"/>
      <c r="H42" s="1"/>
      <c r="I42" s="1"/>
      <c r="J42" s="1"/>
      <c r="K42" s="1"/>
      <c r="L42" s="1"/>
      <c r="M42" s="1"/>
      <c r="N42" s="1"/>
      <c r="O42" s="1"/>
      <c r="P42" s="1"/>
    </row>
    <row r="43" spans="1:16" x14ac:dyDescent="0.25">
      <c r="A43" s="18"/>
      <c r="B43" s="352"/>
      <c r="C43" s="1"/>
      <c r="D43" s="1"/>
      <c r="E43" s="1"/>
      <c r="F43" s="1"/>
      <c r="G43" s="1"/>
      <c r="H43" s="1"/>
      <c r="I43" s="1"/>
      <c r="J43" s="1"/>
      <c r="K43" s="1"/>
      <c r="L43" s="1"/>
      <c r="M43" s="1"/>
      <c r="N43" s="1"/>
      <c r="O43" s="1"/>
      <c r="P43" s="1"/>
    </row>
    <row r="44" spans="1:16" x14ac:dyDescent="0.25">
      <c r="A44" s="673" t="s">
        <v>826</v>
      </c>
      <c r="B44" s="673"/>
      <c r="C44" s="673"/>
      <c r="D44" s="673"/>
      <c r="E44" s="673"/>
      <c r="F44" s="1"/>
      <c r="G44" s="1"/>
      <c r="H44" s="54"/>
      <c r="I44" s="1"/>
      <c r="J44" s="1"/>
      <c r="K44" s="1"/>
      <c r="L44" s="1"/>
      <c r="M44" s="1"/>
      <c r="N44" s="1"/>
      <c r="O44" s="1"/>
      <c r="P44" s="1"/>
    </row>
    <row r="45" spans="1:16" x14ac:dyDescent="0.25">
      <c r="A45" s="351"/>
      <c r="B45" s="351"/>
      <c r="C45" s="351"/>
      <c r="D45" s="351"/>
      <c r="E45" s="1"/>
      <c r="F45" s="1"/>
      <c r="G45" s="1"/>
      <c r="H45" s="54"/>
      <c r="I45" s="1"/>
      <c r="J45" s="1"/>
      <c r="K45" s="1"/>
      <c r="L45" s="1"/>
      <c r="M45" s="1"/>
      <c r="N45" s="1"/>
      <c r="O45" s="1"/>
      <c r="P45" s="1"/>
    </row>
    <row r="46" spans="1:16" ht="80.25" customHeight="1" x14ac:dyDescent="0.25">
      <c r="A46" s="677" t="s">
        <v>190</v>
      </c>
      <c r="B46" s="677"/>
      <c r="C46" s="677"/>
      <c r="D46" s="677"/>
      <c r="E46" s="677"/>
      <c r="F46" s="677"/>
      <c r="G46" s="677"/>
      <c r="H46" s="54"/>
      <c r="I46" s="1"/>
      <c r="J46" s="1"/>
      <c r="K46" s="1"/>
      <c r="L46" s="1"/>
      <c r="M46" s="1"/>
      <c r="N46" s="1"/>
      <c r="O46" s="1"/>
      <c r="P46" s="1"/>
    </row>
    <row r="47" spans="1:16" x14ac:dyDescent="0.25">
      <c r="A47" s="375" t="s">
        <v>141</v>
      </c>
      <c r="B47" s="1"/>
      <c r="C47" s="1"/>
      <c r="D47" s="1"/>
      <c r="E47" s="1"/>
      <c r="F47" s="1"/>
      <c r="G47" s="1"/>
      <c r="H47" s="1"/>
      <c r="I47" s="1"/>
      <c r="J47" s="1"/>
      <c r="K47" s="1"/>
      <c r="L47" s="1"/>
      <c r="M47" s="1"/>
      <c r="N47" s="1"/>
      <c r="O47" s="1"/>
      <c r="P47" s="1"/>
    </row>
    <row r="48" spans="1:16" x14ac:dyDescent="0.25">
      <c r="A48" s="375"/>
      <c r="B48" s="1"/>
      <c r="C48" s="1"/>
      <c r="D48" s="1"/>
      <c r="E48" s="1"/>
      <c r="F48" s="1"/>
      <c r="G48" s="1"/>
      <c r="H48" s="1"/>
      <c r="I48" s="1"/>
      <c r="J48" s="1"/>
      <c r="K48" s="1"/>
      <c r="L48" s="1"/>
      <c r="M48" s="1"/>
      <c r="N48" s="1"/>
      <c r="O48" s="1"/>
      <c r="P48" s="1"/>
    </row>
    <row r="49" spans="1:16" ht="27.45" customHeight="1" x14ac:dyDescent="0.25">
      <c r="A49" s="674" t="s">
        <v>93</v>
      </c>
      <c r="B49" s="674"/>
      <c r="C49" s="674"/>
      <c r="D49" s="674"/>
      <c r="E49" s="674"/>
      <c r="F49" s="674"/>
      <c r="G49" s="674"/>
      <c r="H49" s="72"/>
      <c r="I49" s="72"/>
      <c r="J49" s="72"/>
      <c r="K49" s="72"/>
      <c r="L49" s="1"/>
      <c r="M49" s="1"/>
      <c r="N49" s="1"/>
      <c r="O49" s="1"/>
      <c r="P49" s="1"/>
    </row>
    <row r="50" spans="1:16" ht="27" customHeight="1" x14ac:dyDescent="0.25">
      <c r="A50" s="697" t="s">
        <v>94</v>
      </c>
      <c r="B50" s="697"/>
      <c r="C50" s="697"/>
      <c r="D50" s="697"/>
      <c r="E50" s="697"/>
      <c r="F50" s="697"/>
      <c r="G50" s="697"/>
      <c r="H50" s="105"/>
      <c r="I50" s="105"/>
      <c r="J50" s="105"/>
      <c r="K50" s="105"/>
      <c r="L50" s="105"/>
      <c r="M50" s="1"/>
      <c r="N50" s="1"/>
      <c r="O50" s="1"/>
      <c r="P50" s="1"/>
    </row>
    <row r="51" spans="1:16" x14ac:dyDescent="0.25">
      <c r="A51" s="19"/>
      <c r="B51" s="19"/>
      <c r="C51" s="1"/>
      <c r="D51" s="1"/>
      <c r="E51" s="1"/>
      <c r="F51" s="1"/>
      <c r="G51" s="1"/>
      <c r="H51" s="1"/>
      <c r="I51" s="1"/>
      <c r="J51" s="1"/>
      <c r="K51" s="1"/>
      <c r="L51" s="1"/>
      <c r="M51" s="1"/>
      <c r="N51" s="1"/>
      <c r="O51" s="1"/>
      <c r="P51" s="1"/>
    </row>
    <row r="52" spans="1:16" ht="12.75" customHeight="1" x14ac:dyDescent="0.25">
      <c r="A52" s="1"/>
      <c r="B52" s="8"/>
      <c r="C52" s="8"/>
      <c r="D52" s="8"/>
      <c r="E52" s="1"/>
      <c r="F52" s="1"/>
      <c r="G52" s="1"/>
      <c r="H52" s="1"/>
      <c r="I52" s="1"/>
      <c r="J52" s="1"/>
      <c r="K52" s="1"/>
      <c r="L52" s="1"/>
      <c r="M52" s="1"/>
      <c r="N52" s="1"/>
      <c r="O52" s="1"/>
      <c r="P52" s="1"/>
    </row>
    <row r="53" spans="1:16" x14ac:dyDescent="0.25">
      <c r="A53" s="1"/>
      <c r="B53" s="352"/>
      <c r="C53" s="1"/>
      <c r="D53" s="1"/>
      <c r="E53" s="1"/>
      <c r="F53" s="1"/>
      <c r="G53" s="1"/>
      <c r="H53" s="1"/>
      <c r="I53" s="1"/>
      <c r="J53" s="1"/>
      <c r="K53" s="1"/>
      <c r="L53" s="1"/>
      <c r="M53" s="1"/>
      <c r="N53" s="1"/>
      <c r="O53" s="1"/>
      <c r="P53" s="1"/>
    </row>
    <row r="54" spans="1:16" ht="12.75" customHeight="1" x14ac:dyDescent="0.25">
      <c r="A54" s="1"/>
      <c r="B54" s="72"/>
      <c r="C54" s="72"/>
      <c r="D54" s="72"/>
      <c r="E54" s="348"/>
      <c r="F54" s="1"/>
      <c r="G54" s="1"/>
      <c r="H54" s="1"/>
      <c r="I54" s="1"/>
      <c r="J54" s="1"/>
      <c r="K54" s="1"/>
      <c r="L54" s="1"/>
      <c r="M54" s="1"/>
      <c r="N54" s="1"/>
      <c r="O54" s="1"/>
      <c r="P54" s="1"/>
    </row>
    <row r="55" spans="1:16" ht="12.75" customHeight="1" x14ac:dyDescent="0.25">
      <c r="A55" s="1"/>
      <c r="B55" s="348"/>
      <c r="C55" s="348"/>
      <c r="D55" s="348"/>
      <c r="E55" s="1"/>
      <c r="F55" s="1"/>
      <c r="G55" s="1"/>
      <c r="H55" s="1"/>
      <c r="I55" s="1"/>
      <c r="J55" s="1"/>
      <c r="K55" s="1"/>
      <c r="L55" s="1"/>
      <c r="M55" s="1"/>
      <c r="N55" s="1"/>
      <c r="O55" s="1"/>
      <c r="P55" s="1"/>
    </row>
  </sheetData>
  <mergeCells count="6">
    <mergeCell ref="A49:G49"/>
    <mergeCell ref="A50:G50"/>
    <mergeCell ref="A46:G46"/>
    <mergeCell ref="A5:E5"/>
    <mergeCell ref="A6:G6"/>
    <mergeCell ref="A44:E44"/>
  </mergeCells>
  <hyperlinks>
    <hyperlink ref="A47" r:id="rId1"/>
  </hyperlinks>
  <pageMargins left="0.7" right="0.7" top="0.75" bottom="0.75" header="0.3" footer="0.3"/>
  <pageSetup paperSize="9" scale="54" orientation="portrait" r:id="rId2"/>
  <colBreaks count="1" manualBreakCount="1">
    <brk id="8" max="51" man="1"/>
  </colBreak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7"/>
  <sheetViews>
    <sheetView showGridLines="0" workbookViewId="0"/>
  </sheetViews>
  <sheetFormatPr defaultColWidth="9" defaultRowHeight="13.8" x14ac:dyDescent="0.25"/>
  <cols>
    <col min="1" max="1" width="46.296875" style="13" customWidth="1"/>
    <col min="2" max="10" width="10.69921875" style="13" customWidth="1"/>
    <col min="11" max="11" width="8.296875" style="13" customWidth="1"/>
    <col min="12" max="20" width="10.69921875" style="13" customWidth="1"/>
    <col min="21" max="21" width="8.69921875" style="13" customWidth="1"/>
    <col min="22" max="30" width="10.69921875" style="13" customWidth="1"/>
    <col min="31" max="34" width="10.59765625" style="13" customWidth="1"/>
    <col min="35" max="16384" width="9" style="13"/>
  </cols>
  <sheetData>
    <row r="1" spans="1:34" x14ac:dyDescent="0.25">
      <c r="A1" s="11" t="s">
        <v>23</v>
      </c>
      <c r="B1" s="33"/>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row>
    <row r="2" spans="1:34" x14ac:dyDescent="0.25">
      <c r="A2" s="32"/>
      <c r="B2" s="33"/>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row>
    <row r="3" spans="1:34" x14ac:dyDescent="0.25">
      <c r="A3" s="11" t="s">
        <v>849</v>
      </c>
      <c r="B3" s="11"/>
      <c r="C3" s="11"/>
      <c r="D3" s="11"/>
      <c r="E3" s="11"/>
      <c r="F3" s="11"/>
      <c r="G3" s="11"/>
    </row>
    <row r="4" spans="1:34" ht="87" customHeight="1" x14ac:dyDescent="0.25">
      <c r="A4" s="698" t="s">
        <v>850</v>
      </c>
      <c r="B4" s="698"/>
      <c r="C4" s="698"/>
      <c r="D4" s="698"/>
      <c r="E4" s="698"/>
      <c r="F4" s="698"/>
      <c r="G4" s="698"/>
      <c r="H4" s="698"/>
      <c r="I4" s="698"/>
      <c r="J4" s="698"/>
      <c r="K4" s="698"/>
      <c r="L4" s="698"/>
      <c r="M4" s="698"/>
      <c r="N4" s="698"/>
      <c r="O4" s="698"/>
      <c r="P4" s="698"/>
      <c r="Q4" s="698"/>
      <c r="R4" s="698"/>
      <c r="S4" s="353"/>
      <c r="T4" s="353"/>
    </row>
    <row r="5" spans="1:34" ht="13.5" customHeight="1" x14ac:dyDescent="0.25">
      <c r="A5" s="353"/>
      <c r="B5" s="353"/>
      <c r="C5" s="353"/>
      <c r="D5" s="353"/>
      <c r="E5" s="353"/>
      <c r="F5" s="353"/>
      <c r="G5" s="353"/>
      <c r="H5" s="353"/>
      <c r="I5" s="353"/>
      <c r="J5" s="353"/>
      <c r="K5" s="353"/>
      <c r="L5" s="353"/>
      <c r="M5" s="353"/>
      <c r="N5" s="353"/>
      <c r="O5" s="353"/>
      <c r="P5" s="353"/>
      <c r="Q5" s="353"/>
      <c r="R5" s="353"/>
      <c r="S5" s="353"/>
      <c r="T5" s="353"/>
    </row>
    <row r="6" spans="1:34" ht="14.4" thickBot="1" x14ac:dyDescent="0.3">
      <c r="A6" s="83"/>
      <c r="B6" s="84"/>
      <c r="C6" s="84"/>
      <c r="D6" s="84"/>
      <c r="E6" s="84"/>
      <c r="F6" s="84"/>
      <c r="G6" s="84"/>
      <c r="H6" s="84"/>
      <c r="I6" s="84"/>
      <c r="J6" s="84"/>
      <c r="K6" s="84"/>
      <c r="L6" s="84"/>
      <c r="M6" s="83"/>
      <c r="N6" s="83"/>
      <c r="O6" s="83"/>
      <c r="P6" s="83"/>
      <c r="Q6" s="83"/>
      <c r="R6" s="83"/>
      <c r="S6" s="83"/>
      <c r="T6" s="83"/>
      <c r="U6" s="83"/>
      <c r="V6" s="83"/>
      <c r="W6" s="83"/>
      <c r="X6" s="83"/>
      <c r="Y6" s="83"/>
      <c r="Z6" s="83"/>
      <c r="AA6" s="83"/>
      <c r="AB6" s="83"/>
      <c r="AC6" s="83"/>
      <c r="AD6" s="1"/>
      <c r="AE6" s="1"/>
      <c r="AF6" s="1"/>
      <c r="AG6" s="1"/>
      <c r="AH6" s="110"/>
    </row>
    <row r="7" spans="1:34" ht="15" customHeight="1" x14ac:dyDescent="0.25">
      <c r="A7" s="350"/>
      <c r="B7" s="701" t="s">
        <v>175</v>
      </c>
      <c r="C7" s="701"/>
      <c r="D7" s="701"/>
      <c r="E7" s="701"/>
      <c r="F7" s="701"/>
      <c r="G7" s="701"/>
      <c r="H7" s="701"/>
      <c r="I7" s="701"/>
      <c r="J7" s="392"/>
      <c r="K7" s="1"/>
      <c r="L7" s="703" t="s">
        <v>44</v>
      </c>
      <c r="M7" s="703"/>
      <c r="N7" s="703"/>
      <c r="O7" s="703"/>
      <c r="P7" s="703"/>
      <c r="Q7" s="703"/>
      <c r="R7" s="703"/>
      <c r="S7" s="703"/>
      <c r="T7" s="393"/>
      <c r="U7" s="1"/>
      <c r="V7" s="703" t="s">
        <v>45</v>
      </c>
      <c r="W7" s="703"/>
      <c r="X7" s="703"/>
      <c r="Y7" s="703"/>
      <c r="Z7" s="703"/>
      <c r="AA7" s="703"/>
      <c r="AB7" s="703"/>
      <c r="AC7" s="703"/>
      <c r="AD7" s="703"/>
    </row>
    <row r="8" spans="1:34" x14ac:dyDescent="0.25">
      <c r="A8" s="386"/>
      <c r="B8" s="2" t="s">
        <v>46</v>
      </c>
      <c r="C8" s="2" t="s">
        <v>47</v>
      </c>
      <c r="D8" s="2" t="s">
        <v>48</v>
      </c>
      <c r="E8" s="43" t="s">
        <v>49</v>
      </c>
      <c r="F8" s="2" t="s">
        <v>50</v>
      </c>
      <c r="G8" s="2" t="s">
        <v>51</v>
      </c>
      <c r="H8" s="2" t="s">
        <v>52</v>
      </c>
      <c r="I8" s="2" t="s">
        <v>53</v>
      </c>
      <c r="J8" s="2" t="s">
        <v>644</v>
      </c>
      <c r="K8" s="1"/>
      <c r="L8" s="2" t="s">
        <v>46</v>
      </c>
      <c r="M8" s="2" t="s">
        <v>47</v>
      </c>
      <c r="N8" s="2" t="s">
        <v>48</v>
      </c>
      <c r="O8" s="43" t="s">
        <v>49</v>
      </c>
      <c r="P8" s="2" t="s">
        <v>50</v>
      </c>
      <c r="Q8" s="2" t="s">
        <v>51</v>
      </c>
      <c r="R8" s="2" t="s">
        <v>52</v>
      </c>
      <c r="S8" s="2" t="s">
        <v>53</v>
      </c>
      <c r="T8" s="2" t="s">
        <v>644</v>
      </c>
      <c r="U8" s="1"/>
      <c r="V8" s="2" t="s">
        <v>46</v>
      </c>
      <c r="W8" s="2" t="s">
        <v>47</v>
      </c>
      <c r="X8" s="2" t="s">
        <v>48</v>
      </c>
      <c r="Y8" s="43" t="s">
        <v>49</v>
      </c>
      <c r="Z8" s="2" t="s">
        <v>50</v>
      </c>
      <c r="AA8" s="2" t="s">
        <v>51</v>
      </c>
      <c r="AB8" s="2" t="s">
        <v>52</v>
      </c>
      <c r="AC8" s="2" t="s">
        <v>53</v>
      </c>
      <c r="AD8" s="2" t="s">
        <v>644</v>
      </c>
    </row>
    <row r="9" spans="1:34" x14ac:dyDescent="0.25">
      <c r="A9" s="352"/>
      <c r="B9" s="3"/>
      <c r="C9" s="3"/>
      <c r="E9" s="164"/>
      <c r="O9" s="164"/>
      <c r="Y9" s="164"/>
    </row>
    <row r="10" spans="1:34" ht="26.4" x14ac:dyDescent="0.25">
      <c r="A10" s="40" t="s">
        <v>54</v>
      </c>
      <c r="B10" s="41" t="s">
        <v>55</v>
      </c>
      <c r="C10" s="41" t="s">
        <v>55</v>
      </c>
      <c r="D10" s="41" t="s">
        <v>55</v>
      </c>
      <c r="E10" s="169" t="s">
        <v>56</v>
      </c>
      <c r="F10" s="204" t="s">
        <v>56</v>
      </c>
      <c r="G10" s="204" t="s">
        <v>57</v>
      </c>
      <c r="H10" s="204" t="s">
        <v>57</v>
      </c>
      <c r="I10" s="204" t="s">
        <v>57</v>
      </c>
      <c r="J10" s="204" t="s">
        <v>57</v>
      </c>
      <c r="K10" s="42"/>
      <c r="L10" s="41" t="s">
        <v>55</v>
      </c>
      <c r="M10" s="41" t="s">
        <v>55</v>
      </c>
      <c r="N10" s="41" t="s">
        <v>55</v>
      </c>
      <c r="O10" s="169" t="s">
        <v>56</v>
      </c>
      <c r="P10" s="204" t="s">
        <v>56</v>
      </c>
      <c r="Q10" s="204" t="s">
        <v>57</v>
      </c>
      <c r="R10" s="41" t="s">
        <v>176</v>
      </c>
      <c r="S10" s="41" t="s">
        <v>176</v>
      </c>
      <c r="T10" s="41" t="s">
        <v>176</v>
      </c>
      <c r="U10" s="42"/>
      <c r="V10" s="41" t="s">
        <v>55</v>
      </c>
      <c r="W10" s="41" t="s">
        <v>55</v>
      </c>
      <c r="X10" s="41" t="s">
        <v>55</v>
      </c>
      <c r="Y10" s="143" t="s">
        <v>59</v>
      </c>
      <c r="Z10" s="207" t="s">
        <v>59</v>
      </c>
      <c r="AA10" s="207" t="s">
        <v>59</v>
      </c>
      <c r="AB10" s="41" t="s">
        <v>176</v>
      </c>
      <c r="AC10" s="41" t="s">
        <v>176</v>
      </c>
      <c r="AD10" s="41" t="s">
        <v>176</v>
      </c>
    </row>
    <row r="11" spans="1:34" x14ac:dyDescent="0.25">
      <c r="A11" s="352"/>
      <c r="B11" s="3"/>
      <c r="C11" s="3"/>
      <c r="E11" s="164"/>
      <c r="O11" s="164"/>
      <c r="Y11" s="164"/>
    </row>
    <row r="12" spans="1:34" ht="39.6" x14ac:dyDescent="0.25">
      <c r="A12" s="8" t="s">
        <v>207</v>
      </c>
      <c r="B12" s="20">
        <v>36005</v>
      </c>
      <c r="C12" s="20">
        <v>40063</v>
      </c>
      <c r="D12" s="20">
        <v>44468</v>
      </c>
      <c r="E12" s="142">
        <v>34137</v>
      </c>
      <c r="F12" s="20">
        <v>37408</v>
      </c>
      <c r="G12" s="20">
        <v>37610</v>
      </c>
      <c r="H12" s="20">
        <v>39044</v>
      </c>
      <c r="I12" s="20">
        <v>41487</v>
      </c>
      <c r="J12" s="20" t="s">
        <v>694</v>
      </c>
      <c r="K12" s="332"/>
      <c r="L12" s="20">
        <v>33471</v>
      </c>
      <c r="M12" s="20">
        <v>36796</v>
      </c>
      <c r="N12" s="20">
        <v>40380</v>
      </c>
      <c r="O12" s="142">
        <v>32213</v>
      </c>
      <c r="P12" s="20">
        <v>35308</v>
      </c>
      <c r="Q12" s="20">
        <v>35461</v>
      </c>
      <c r="R12" s="20">
        <v>36915</v>
      </c>
      <c r="S12" s="20">
        <v>39530</v>
      </c>
      <c r="T12" s="20" t="s">
        <v>696</v>
      </c>
      <c r="U12" s="332"/>
      <c r="V12" s="20">
        <v>2534</v>
      </c>
      <c r="W12" s="20">
        <v>3267</v>
      </c>
      <c r="X12" s="20">
        <v>4088</v>
      </c>
      <c r="Y12" s="142">
        <v>1924</v>
      </c>
      <c r="Z12" s="20">
        <v>2100</v>
      </c>
      <c r="AA12" s="20">
        <v>2149</v>
      </c>
      <c r="AB12" s="20">
        <v>2129</v>
      </c>
      <c r="AC12" s="20">
        <v>1957</v>
      </c>
      <c r="AD12" s="20" t="s">
        <v>698</v>
      </c>
      <c r="AE12" s="332"/>
    </row>
    <row r="13" spans="1:34" ht="15.6" x14ac:dyDescent="0.25">
      <c r="A13" s="59" t="s">
        <v>208</v>
      </c>
      <c r="B13" s="31">
        <v>25300</v>
      </c>
      <c r="C13" s="31">
        <v>27754</v>
      </c>
      <c r="D13" s="31">
        <v>30627</v>
      </c>
      <c r="E13" s="165">
        <v>21621</v>
      </c>
      <c r="F13" s="31">
        <v>23864</v>
      </c>
      <c r="G13" s="31">
        <v>25963</v>
      </c>
      <c r="H13" s="22">
        <v>27249</v>
      </c>
      <c r="I13" s="22">
        <v>29583</v>
      </c>
      <c r="J13" s="22"/>
      <c r="K13" s="332"/>
      <c r="L13" s="31">
        <v>23326</v>
      </c>
      <c r="M13" s="31">
        <v>25293</v>
      </c>
      <c r="N13" s="31">
        <v>27705</v>
      </c>
      <c r="O13" s="165">
        <v>20823</v>
      </c>
      <c r="P13" s="31">
        <v>22994</v>
      </c>
      <c r="Q13" s="31">
        <v>25021</v>
      </c>
      <c r="R13" s="22">
        <v>26374</v>
      </c>
      <c r="S13" s="22">
        <v>28746</v>
      </c>
      <c r="T13" s="22"/>
      <c r="U13" s="332"/>
      <c r="V13" s="31">
        <v>1974</v>
      </c>
      <c r="W13" s="31">
        <v>2461</v>
      </c>
      <c r="X13" s="31">
        <v>2922</v>
      </c>
      <c r="Y13" s="165">
        <v>798</v>
      </c>
      <c r="Z13" s="31">
        <v>870</v>
      </c>
      <c r="AA13" s="31">
        <v>942</v>
      </c>
      <c r="AB13" s="22">
        <v>875</v>
      </c>
      <c r="AC13" s="22">
        <v>837</v>
      </c>
      <c r="AD13" s="22"/>
    </row>
    <row r="14" spans="1:34" x14ac:dyDescent="0.25">
      <c r="A14" s="59" t="s">
        <v>209</v>
      </c>
      <c r="B14" s="31">
        <v>4097</v>
      </c>
      <c r="C14" s="31">
        <v>5079</v>
      </c>
      <c r="D14" s="31">
        <v>5678</v>
      </c>
      <c r="E14" s="165">
        <v>7107</v>
      </c>
      <c r="F14" s="31">
        <v>7697</v>
      </c>
      <c r="G14" s="31">
        <v>5769</v>
      </c>
      <c r="H14" s="22">
        <v>5147</v>
      </c>
      <c r="I14" s="22">
        <v>4981</v>
      </c>
      <c r="J14" s="22"/>
      <c r="K14" s="332"/>
      <c r="L14" s="31">
        <v>3834</v>
      </c>
      <c r="M14" s="31">
        <v>4600</v>
      </c>
      <c r="N14" s="31">
        <v>4919</v>
      </c>
      <c r="O14" s="165">
        <v>6138</v>
      </c>
      <c r="P14" s="31">
        <v>6624</v>
      </c>
      <c r="Q14" s="31">
        <v>4759</v>
      </c>
      <c r="R14" s="22">
        <v>4071</v>
      </c>
      <c r="S14" s="22">
        <v>4035</v>
      </c>
      <c r="T14" s="22"/>
      <c r="U14" s="332"/>
      <c r="V14" s="31">
        <v>263</v>
      </c>
      <c r="W14" s="31">
        <v>479</v>
      </c>
      <c r="X14" s="31">
        <v>759</v>
      </c>
      <c r="Y14" s="165">
        <v>969</v>
      </c>
      <c r="Z14" s="31">
        <v>1073</v>
      </c>
      <c r="AA14" s="31">
        <v>1010</v>
      </c>
      <c r="AB14" s="22">
        <v>1076</v>
      </c>
      <c r="AC14" s="22">
        <v>946</v>
      </c>
      <c r="AD14" s="22"/>
    </row>
    <row r="15" spans="1:34" x14ac:dyDescent="0.25">
      <c r="A15" s="59" t="s">
        <v>81</v>
      </c>
      <c r="B15" s="31">
        <v>3707</v>
      </c>
      <c r="C15" s="31">
        <v>4015</v>
      </c>
      <c r="D15" s="31">
        <v>4121</v>
      </c>
      <c r="E15" s="165">
        <v>3008</v>
      </c>
      <c r="F15" s="31">
        <v>3135</v>
      </c>
      <c r="G15" s="31">
        <v>2736</v>
      </c>
      <c r="H15" s="22">
        <v>2488</v>
      </c>
      <c r="I15" s="22">
        <v>2335</v>
      </c>
      <c r="J15" s="22"/>
      <c r="K15" s="332"/>
      <c r="L15" s="31">
        <v>3457</v>
      </c>
      <c r="M15" s="31">
        <v>3751</v>
      </c>
      <c r="N15" s="31">
        <v>3776</v>
      </c>
      <c r="O15" s="165">
        <v>2884</v>
      </c>
      <c r="P15" s="31">
        <v>3013</v>
      </c>
      <c r="Q15" s="31">
        <v>2583</v>
      </c>
      <c r="R15" s="22">
        <v>2344</v>
      </c>
      <c r="S15" s="22">
        <v>2234</v>
      </c>
      <c r="T15" s="22"/>
      <c r="U15" s="332"/>
      <c r="V15" s="31">
        <v>250</v>
      </c>
      <c r="W15" s="31">
        <v>264</v>
      </c>
      <c r="X15" s="31">
        <v>345</v>
      </c>
      <c r="Y15" s="165">
        <v>124</v>
      </c>
      <c r="Z15" s="31">
        <v>122</v>
      </c>
      <c r="AA15" s="31">
        <v>153</v>
      </c>
      <c r="AB15" s="22">
        <v>144</v>
      </c>
      <c r="AC15" s="22">
        <v>101</v>
      </c>
      <c r="AD15" s="22"/>
    </row>
    <row r="16" spans="1:34" x14ac:dyDescent="0.25">
      <c r="A16" s="59" t="s">
        <v>83</v>
      </c>
      <c r="B16" s="31">
        <v>54</v>
      </c>
      <c r="C16" s="31">
        <v>56</v>
      </c>
      <c r="D16" s="31">
        <v>51</v>
      </c>
      <c r="E16" s="165">
        <v>28</v>
      </c>
      <c r="F16" s="31">
        <v>30</v>
      </c>
      <c r="G16" s="31">
        <v>27</v>
      </c>
      <c r="H16" s="22">
        <v>26</v>
      </c>
      <c r="I16" s="22">
        <v>22</v>
      </c>
      <c r="J16" s="22"/>
      <c r="K16" s="332"/>
      <c r="L16" s="31">
        <v>49</v>
      </c>
      <c r="M16" s="31">
        <v>54</v>
      </c>
      <c r="N16" s="31">
        <v>47</v>
      </c>
      <c r="O16" s="165">
        <v>24</v>
      </c>
      <c r="P16" s="31">
        <v>30</v>
      </c>
      <c r="Q16" s="31">
        <v>24</v>
      </c>
      <c r="R16" s="22">
        <v>25</v>
      </c>
      <c r="S16" s="22">
        <v>22</v>
      </c>
      <c r="T16" s="22"/>
      <c r="U16" s="332"/>
      <c r="V16" s="31">
        <v>5</v>
      </c>
      <c r="W16" s="31">
        <v>2</v>
      </c>
      <c r="X16" s="31">
        <v>4</v>
      </c>
      <c r="Y16" s="165">
        <v>4</v>
      </c>
      <c r="Z16" s="31">
        <v>0</v>
      </c>
      <c r="AA16" s="31">
        <v>3</v>
      </c>
      <c r="AB16" s="22">
        <v>1</v>
      </c>
      <c r="AC16" s="22">
        <v>0</v>
      </c>
      <c r="AD16" s="22"/>
    </row>
    <row r="17" spans="1:30" x14ac:dyDescent="0.25">
      <c r="A17" s="59" t="s">
        <v>88</v>
      </c>
      <c r="B17" s="31" t="s">
        <v>75</v>
      </c>
      <c r="C17" s="31" t="s">
        <v>75</v>
      </c>
      <c r="D17" s="31" t="s">
        <v>75</v>
      </c>
      <c r="E17" s="165">
        <v>219</v>
      </c>
      <c r="F17" s="31">
        <v>317</v>
      </c>
      <c r="G17" s="31">
        <v>388</v>
      </c>
      <c r="H17" s="22">
        <v>470</v>
      </c>
      <c r="I17" s="22">
        <v>454</v>
      </c>
      <c r="J17" s="22"/>
      <c r="K17" s="332"/>
      <c r="L17" s="31" t="s">
        <v>75</v>
      </c>
      <c r="M17" s="31" t="s">
        <v>75</v>
      </c>
      <c r="N17" s="31" t="s">
        <v>75</v>
      </c>
      <c r="O17" s="165">
        <v>217</v>
      </c>
      <c r="P17" s="31">
        <v>309</v>
      </c>
      <c r="Q17" s="31">
        <v>378</v>
      </c>
      <c r="R17" s="22">
        <v>464</v>
      </c>
      <c r="S17" s="22">
        <v>428</v>
      </c>
      <c r="T17" s="22"/>
      <c r="U17" s="332"/>
      <c r="V17" s="31" t="s">
        <v>75</v>
      </c>
      <c r="W17" s="31" t="s">
        <v>75</v>
      </c>
      <c r="X17" s="31" t="s">
        <v>75</v>
      </c>
      <c r="Y17" s="165">
        <v>2</v>
      </c>
      <c r="Z17" s="31">
        <v>8</v>
      </c>
      <c r="AA17" s="31">
        <v>10</v>
      </c>
      <c r="AB17" s="22">
        <v>6</v>
      </c>
      <c r="AC17" s="22">
        <v>26</v>
      </c>
      <c r="AD17" s="22"/>
    </row>
    <row r="18" spans="1:30" x14ac:dyDescent="0.25">
      <c r="A18" s="59" t="s">
        <v>90</v>
      </c>
      <c r="B18" s="31">
        <v>2587</v>
      </c>
      <c r="C18" s="31">
        <v>2882</v>
      </c>
      <c r="D18" s="31">
        <v>3660</v>
      </c>
      <c r="E18" s="165">
        <v>2118</v>
      </c>
      <c r="F18" s="31">
        <v>2324</v>
      </c>
      <c r="G18" s="31">
        <v>2713</v>
      </c>
      <c r="H18" s="22">
        <v>2920</v>
      </c>
      <c r="I18" s="22">
        <v>3278</v>
      </c>
      <c r="J18" s="22"/>
      <c r="K18" s="332"/>
      <c r="L18" s="31">
        <v>2551</v>
      </c>
      <c r="M18" s="31">
        <v>2836</v>
      </c>
      <c r="N18" s="31">
        <v>3614</v>
      </c>
      <c r="O18" s="165">
        <v>2093</v>
      </c>
      <c r="P18" s="31">
        <v>2298</v>
      </c>
      <c r="Q18" s="31">
        <v>2684</v>
      </c>
      <c r="R18" s="22">
        <v>2898</v>
      </c>
      <c r="S18" s="22">
        <v>3235</v>
      </c>
      <c r="T18" s="22"/>
      <c r="U18" s="332"/>
      <c r="V18" s="31">
        <v>36</v>
      </c>
      <c r="W18" s="31">
        <v>46</v>
      </c>
      <c r="X18" s="31">
        <v>46</v>
      </c>
      <c r="Y18" s="165">
        <v>25</v>
      </c>
      <c r="Z18" s="31">
        <v>26</v>
      </c>
      <c r="AA18" s="31">
        <v>29</v>
      </c>
      <c r="AB18" s="22">
        <v>22</v>
      </c>
      <c r="AC18" s="22">
        <v>43</v>
      </c>
      <c r="AD18" s="22"/>
    </row>
    <row r="19" spans="1:30" x14ac:dyDescent="0.25">
      <c r="A19" s="59" t="s">
        <v>85</v>
      </c>
      <c r="B19" s="31">
        <v>260</v>
      </c>
      <c r="C19" s="31">
        <v>277</v>
      </c>
      <c r="D19" s="31">
        <v>331</v>
      </c>
      <c r="E19" s="165">
        <v>41</v>
      </c>
      <c r="F19" s="31">
        <v>50</v>
      </c>
      <c r="G19" s="31">
        <v>38</v>
      </c>
      <c r="H19" s="22">
        <v>36</v>
      </c>
      <c r="I19" s="22">
        <v>32</v>
      </c>
      <c r="J19" s="22"/>
      <c r="K19" s="332"/>
      <c r="L19" s="31">
        <v>254</v>
      </c>
      <c r="M19" s="31">
        <v>262</v>
      </c>
      <c r="N19" s="31">
        <v>319</v>
      </c>
      <c r="O19" s="165">
        <v>39</v>
      </c>
      <c r="P19" s="31">
        <v>49</v>
      </c>
      <c r="Q19" s="31">
        <v>36</v>
      </c>
      <c r="R19" s="22">
        <v>30</v>
      </c>
      <c r="S19" s="22">
        <v>26</v>
      </c>
      <c r="T19" s="22"/>
      <c r="U19" s="332"/>
      <c r="V19" s="31">
        <v>6</v>
      </c>
      <c r="W19" s="31">
        <v>15</v>
      </c>
      <c r="X19" s="31">
        <v>12</v>
      </c>
      <c r="Y19" s="165">
        <v>2</v>
      </c>
      <c r="Z19" s="31">
        <v>1</v>
      </c>
      <c r="AA19" s="31">
        <v>2</v>
      </c>
      <c r="AB19" s="22">
        <v>6</v>
      </c>
      <c r="AC19" s="22">
        <v>6</v>
      </c>
      <c r="AD19" s="22"/>
    </row>
    <row r="20" spans="1:30" x14ac:dyDescent="0.25">
      <c r="A20" s="44"/>
      <c r="B20" s="117"/>
      <c r="C20" s="117"/>
      <c r="D20" s="117"/>
      <c r="E20" s="166"/>
      <c r="F20" s="117"/>
      <c r="G20" s="117"/>
      <c r="H20" s="117"/>
      <c r="I20" s="117"/>
      <c r="J20" s="117"/>
      <c r="K20" s="332"/>
      <c r="L20" s="117"/>
      <c r="M20" s="117"/>
      <c r="N20" s="117"/>
      <c r="O20" s="166"/>
      <c r="P20" s="117"/>
      <c r="Q20" s="117"/>
      <c r="R20" s="117"/>
      <c r="S20" s="117"/>
      <c r="T20" s="117"/>
      <c r="U20" s="332"/>
      <c r="V20" s="117"/>
      <c r="W20" s="117"/>
      <c r="X20" s="117"/>
      <c r="Y20" s="166"/>
      <c r="Z20" s="117"/>
      <c r="AA20" s="117"/>
      <c r="AB20" s="117"/>
      <c r="AC20" s="117"/>
      <c r="AD20" s="117"/>
    </row>
    <row r="21" spans="1:30" ht="39.6" x14ac:dyDescent="0.25">
      <c r="A21" s="8" t="s">
        <v>210</v>
      </c>
      <c r="B21" s="20">
        <v>22418</v>
      </c>
      <c r="C21" s="20">
        <v>25431</v>
      </c>
      <c r="D21" s="20">
        <v>28147</v>
      </c>
      <c r="E21" s="142">
        <v>21361</v>
      </c>
      <c r="F21" s="20">
        <v>23073</v>
      </c>
      <c r="G21" s="20">
        <v>23646</v>
      </c>
      <c r="H21" s="20">
        <v>24165</v>
      </c>
      <c r="I21" s="20">
        <v>24123</v>
      </c>
      <c r="J21" s="20" t="s">
        <v>695</v>
      </c>
      <c r="K21" s="332"/>
      <c r="L21" s="20">
        <v>19807</v>
      </c>
      <c r="M21" s="20">
        <v>22215</v>
      </c>
      <c r="N21" s="20">
        <v>24552</v>
      </c>
      <c r="O21" s="142">
        <v>20076</v>
      </c>
      <c r="P21" s="20">
        <v>21639</v>
      </c>
      <c r="Q21" s="20">
        <v>21929</v>
      </c>
      <c r="R21" s="20">
        <v>22643</v>
      </c>
      <c r="S21" s="20">
        <v>22609</v>
      </c>
      <c r="T21" s="20" t="s">
        <v>697</v>
      </c>
      <c r="U21" s="332"/>
      <c r="V21" s="20">
        <v>2611</v>
      </c>
      <c r="W21" s="20">
        <v>3216</v>
      </c>
      <c r="X21" s="20">
        <v>3595</v>
      </c>
      <c r="Y21" s="142">
        <v>1285</v>
      </c>
      <c r="Z21" s="20">
        <v>1434</v>
      </c>
      <c r="AA21" s="20">
        <v>1717</v>
      </c>
      <c r="AB21" s="20">
        <v>1522</v>
      </c>
      <c r="AC21" s="20">
        <v>1514</v>
      </c>
      <c r="AD21" s="20" t="s">
        <v>699</v>
      </c>
    </row>
    <row r="22" spans="1:30" ht="15.6" x14ac:dyDescent="0.25">
      <c r="A22" s="59" t="s">
        <v>211</v>
      </c>
      <c r="B22" s="31">
        <v>7481</v>
      </c>
      <c r="C22" s="31">
        <v>7690</v>
      </c>
      <c r="D22" s="31">
        <v>8246</v>
      </c>
      <c r="E22" s="165">
        <v>3603</v>
      </c>
      <c r="F22" s="31">
        <v>3826</v>
      </c>
      <c r="G22" s="31">
        <v>4151</v>
      </c>
      <c r="H22" s="22">
        <v>4043</v>
      </c>
      <c r="I22" s="22">
        <v>4456</v>
      </c>
      <c r="J22" s="22"/>
      <c r="K22" s="332"/>
      <c r="L22" s="31">
        <v>5790</v>
      </c>
      <c r="M22" s="31">
        <v>5590</v>
      </c>
      <c r="N22" s="31">
        <v>6207</v>
      </c>
      <c r="O22" s="165">
        <v>3393</v>
      </c>
      <c r="P22" s="31">
        <v>3596</v>
      </c>
      <c r="Q22" s="31">
        <v>3895</v>
      </c>
      <c r="R22" s="22">
        <v>3919</v>
      </c>
      <c r="S22" s="22">
        <v>4316</v>
      </c>
      <c r="T22" s="22"/>
      <c r="U22" s="332"/>
      <c r="V22" s="31">
        <v>1691</v>
      </c>
      <c r="W22" s="31">
        <v>2100</v>
      </c>
      <c r="X22" s="31">
        <v>2039</v>
      </c>
      <c r="Y22" s="165">
        <v>210</v>
      </c>
      <c r="Z22" s="31">
        <v>230</v>
      </c>
      <c r="AA22" s="31">
        <v>256</v>
      </c>
      <c r="AB22" s="22">
        <v>124</v>
      </c>
      <c r="AC22" s="22">
        <v>140</v>
      </c>
      <c r="AD22" s="22"/>
    </row>
    <row r="23" spans="1:30" x14ac:dyDescent="0.25">
      <c r="A23" s="59" t="s">
        <v>212</v>
      </c>
      <c r="B23" s="31">
        <v>3483</v>
      </c>
      <c r="C23" s="31">
        <v>4077</v>
      </c>
      <c r="D23" s="31">
        <v>4303</v>
      </c>
      <c r="E23" s="165">
        <v>5239</v>
      </c>
      <c r="F23" s="31">
        <v>5164</v>
      </c>
      <c r="G23" s="31">
        <v>4983</v>
      </c>
      <c r="H23" s="22">
        <v>4787</v>
      </c>
      <c r="I23" s="22">
        <v>4381</v>
      </c>
      <c r="J23" s="22"/>
      <c r="K23" s="332"/>
      <c r="L23" s="31">
        <v>3298</v>
      </c>
      <c r="M23" s="31">
        <v>3840</v>
      </c>
      <c r="N23" s="31">
        <v>4079</v>
      </c>
      <c r="O23" s="165">
        <v>4700</v>
      </c>
      <c r="P23" s="31">
        <v>4639</v>
      </c>
      <c r="Q23" s="31">
        <v>4409</v>
      </c>
      <c r="R23" s="22">
        <v>4266</v>
      </c>
      <c r="S23" s="22">
        <v>3893</v>
      </c>
      <c r="T23" s="22"/>
      <c r="U23" s="332"/>
      <c r="V23" s="31">
        <v>185</v>
      </c>
      <c r="W23" s="31">
        <v>237</v>
      </c>
      <c r="X23" s="31">
        <v>224</v>
      </c>
      <c r="Y23" s="165">
        <v>539</v>
      </c>
      <c r="Z23" s="31">
        <v>525</v>
      </c>
      <c r="AA23" s="31">
        <v>574</v>
      </c>
      <c r="AB23" s="22">
        <v>521</v>
      </c>
      <c r="AC23" s="22">
        <v>488</v>
      </c>
      <c r="AD23" s="22"/>
    </row>
    <row r="24" spans="1:30" x14ac:dyDescent="0.25">
      <c r="A24" s="59" t="s">
        <v>82</v>
      </c>
      <c r="B24" s="31">
        <v>2414</v>
      </c>
      <c r="C24" s="31">
        <v>2489</v>
      </c>
      <c r="D24" s="31">
        <v>2631</v>
      </c>
      <c r="E24" s="165">
        <v>2114</v>
      </c>
      <c r="F24" s="31">
        <v>2236</v>
      </c>
      <c r="G24" s="31">
        <v>2225</v>
      </c>
      <c r="H24" s="22">
        <v>2060</v>
      </c>
      <c r="I24" s="22">
        <v>1855</v>
      </c>
      <c r="J24" s="22"/>
      <c r="K24" s="332"/>
      <c r="L24" s="31">
        <v>2292</v>
      </c>
      <c r="M24" s="31">
        <v>2348</v>
      </c>
      <c r="N24" s="31">
        <v>2417</v>
      </c>
      <c r="O24" s="165">
        <v>2033</v>
      </c>
      <c r="P24" s="31">
        <v>2150</v>
      </c>
      <c r="Q24" s="31">
        <v>2112</v>
      </c>
      <c r="R24" s="22">
        <v>1963</v>
      </c>
      <c r="S24" s="22">
        <v>1774</v>
      </c>
      <c r="T24" s="22"/>
      <c r="U24" s="332"/>
      <c r="V24" s="31">
        <v>122</v>
      </c>
      <c r="W24" s="31">
        <v>141</v>
      </c>
      <c r="X24" s="31">
        <v>214</v>
      </c>
      <c r="Y24" s="165">
        <v>81</v>
      </c>
      <c r="Z24" s="31">
        <v>86</v>
      </c>
      <c r="AA24" s="31">
        <v>113</v>
      </c>
      <c r="AB24" s="22">
        <v>97</v>
      </c>
      <c r="AC24" s="22">
        <v>81</v>
      </c>
      <c r="AD24" s="22"/>
    </row>
    <row r="25" spans="1:30" x14ac:dyDescent="0.25">
      <c r="A25" s="59" t="s">
        <v>84</v>
      </c>
      <c r="B25" s="31">
        <v>44</v>
      </c>
      <c r="C25" s="31">
        <v>43</v>
      </c>
      <c r="D25" s="31">
        <v>40</v>
      </c>
      <c r="E25" s="167">
        <v>16</v>
      </c>
      <c r="F25" s="3">
        <v>20</v>
      </c>
      <c r="G25" s="3">
        <v>24</v>
      </c>
      <c r="H25" s="22">
        <v>19</v>
      </c>
      <c r="I25" s="22">
        <v>9</v>
      </c>
      <c r="J25" s="22"/>
      <c r="K25" s="332"/>
      <c r="L25" s="31">
        <v>43</v>
      </c>
      <c r="M25" s="31">
        <v>41</v>
      </c>
      <c r="N25" s="31">
        <v>39</v>
      </c>
      <c r="O25" s="167">
        <v>16</v>
      </c>
      <c r="P25" s="3">
        <v>20</v>
      </c>
      <c r="Q25" s="3">
        <v>24</v>
      </c>
      <c r="R25" s="22">
        <v>19</v>
      </c>
      <c r="S25" s="22">
        <v>8</v>
      </c>
      <c r="T25" s="22"/>
      <c r="U25" s="332"/>
      <c r="V25" s="31">
        <v>1</v>
      </c>
      <c r="W25" s="31">
        <v>2</v>
      </c>
      <c r="X25" s="31">
        <v>1</v>
      </c>
      <c r="Y25" s="167">
        <v>0</v>
      </c>
      <c r="Z25" s="3">
        <v>0</v>
      </c>
      <c r="AA25" s="3">
        <v>0</v>
      </c>
      <c r="AB25" s="22">
        <v>0</v>
      </c>
      <c r="AC25" s="22">
        <v>1</v>
      </c>
      <c r="AD25" s="22"/>
    </row>
    <row r="26" spans="1:30" x14ac:dyDescent="0.25">
      <c r="A26" s="59" t="s">
        <v>89</v>
      </c>
      <c r="B26" s="31" t="s">
        <v>75</v>
      </c>
      <c r="C26" s="31" t="s">
        <v>75</v>
      </c>
      <c r="D26" s="31" t="s">
        <v>75</v>
      </c>
      <c r="E26" s="167">
        <v>55</v>
      </c>
      <c r="F26" s="3">
        <v>97</v>
      </c>
      <c r="G26" s="3">
        <v>99</v>
      </c>
      <c r="H26" s="22">
        <v>130</v>
      </c>
      <c r="I26" s="22">
        <v>111</v>
      </c>
      <c r="J26" s="22"/>
      <c r="K26" s="332"/>
      <c r="L26" s="31" t="s">
        <v>75</v>
      </c>
      <c r="M26" s="31" t="s">
        <v>75</v>
      </c>
      <c r="N26" s="31" t="s">
        <v>75</v>
      </c>
      <c r="O26" s="167">
        <v>54</v>
      </c>
      <c r="P26" s="3">
        <v>91</v>
      </c>
      <c r="Q26" s="3">
        <v>93</v>
      </c>
      <c r="R26" s="22">
        <v>127</v>
      </c>
      <c r="S26" s="22">
        <v>94</v>
      </c>
      <c r="T26" s="22"/>
      <c r="U26" s="332"/>
      <c r="V26" s="31" t="s">
        <v>75</v>
      </c>
      <c r="W26" s="31" t="s">
        <v>75</v>
      </c>
      <c r="X26" s="31" t="s">
        <v>75</v>
      </c>
      <c r="Y26" s="167">
        <v>1</v>
      </c>
      <c r="Z26" s="3">
        <v>6</v>
      </c>
      <c r="AA26" s="3">
        <v>6</v>
      </c>
      <c r="AB26" s="22">
        <v>3</v>
      </c>
      <c r="AC26" s="22">
        <v>17</v>
      </c>
      <c r="AD26" s="22"/>
    </row>
    <row r="27" spans="1:30" x14ac:dyDescent="0.25">
      <c r="A27" s="59" t="s">
        <v>91</v>
      </c>
      <c r="B27" s="31">
        <v>295</v>
      </c>
      <c r="C27" s="31">
        <v>303</v>
      </c>
      <c r="D27" s="31">
        <v>439</v>
      </c>
      <c r="E27" s="165">
        <v>227</v>
      </c>
      <c r="F27" s="31">
        <v>245</v>
      </c>
      <c r="G27" s="31">
        <v>304</v>
      </c>
      <c r="H27" s="22">
        <v>285</v>
      </c>
      <c r="I27" s="22">
        <v>308</v>
      </c>
      <c r="J27" s="22"/>
      <c r="K27" s="332"/>
      <c r="L27" s="31">
        <v>286</v>
      </c>
      <c r="M27" s="31">
        <v>295</v>
      </c>
      <c r="N27" s="31">
        <v>437</v>
      </c>
      <c r="O27" s="165">
        <v>225</v>
      </c>
      <c r="P27" s="31">
        <v>243</v>
      </c>
      <c r="Q27" s="31">
        <v>301</v>
      </c>
      <c r="R27" s="22">
        <v>284</v>
      </c>
      <c r="S27" s="22">
        <v>306</v>
      </c>
      <c r="T27" s="22"/>
      <c r="U27" s="332"/>
      <c r="V27" s="31">
        <v>9</v>
      </c>
      <c r="W27" s="31">
        <v>8</v>
      </c>
      <c r="X27" s="31">
        <v>2</v>
      </c>
      <c r="Y27" s="165">
        <v>2</v>
      </c>
      <c r="Z27" s="31">
        <v>2</v>
      </c>
      <c r="AA27" s="31">
        <v>3</v>
      </c>
      <c r="AB27" s="22">
        <v>1</v>
      </c>
      <c r="AC27" s="22">
        <v>2</v>
      </c>
      <c r="AD27" s="22"/>
    </row>
    <row r="28" spans="1:30" x14ac:dyDescent="0.25">
      <c r="A28" s="59" t="s">
        <v>86</v>
      </c>
      <c r="B28" s="31">
        <v>28</v>
      </c>
      <c r="C28" s="31">
        <v>42</v>
      </c>
      <c r="D28" s="31">
        <v>26</v>
      </c>
      <c r="E28" s="167">
        <v>12</v>
      </c>
      <c r="F28" s="3">
        <v>18</v>
      </c>
      <c r="G28" s="3">
        <v>32</v>
      </c>
      <c r="H28" s="22">
        <v>14</v>
      </c>
      <c r="I28" s="22">
        <v>5</v>
      </c>
      <c r="J28" s="22"/>
      <c r="K28" s="332"/>
      <c r="L28" s="31">
        <v>27</v>
      </c>
      <c r="M28" s="31">
        <v>42</v>
      </c>
      <c r="N28" s="31">
        <v>26</v>
      </c>
      <c r="O28" s="167">
        <v>12</v>
      </c>
      <c r="P28" s="3">
        <v>18</v>
      </c>
      <c r="Q28" s="3">
        <v>32</v>
      </c>
      <c r="R28" s="22">
        <v>14</v>
      </c>
      <c r="S28" s="22">
        <v>5</v>
      </c>
      <c r="T28" s="22"/>
      <c r="U28" s="332"/>
      <c r="V28" s="31">
        <v>1</v>
      </c>
      <c r="W28" s="31">
        <v>0</v>
      </c>
      <c r="X28" s="31">
        <v>0</v>
      </c>
      <c r="Y28" s="167">
        <v>0</v>
      </c>
      <c r="Z28" s="3">
        <v>0</v>
      </c>
      <c r="AA28" s="3">
        <v>0</v>
      </c>
      <c r="AB28" s="22">
        <v>0</v>
      </c>
      <c r="AC28" s="22">
        <v>0</v>
      </c>
      <c r="AD28" s="22"/>
    </row>
    <row r="29" spans="1:30" x14ac:dyDescent="0.25">
      <c r="A29" s="59" t="s">
        <v>213</v>
      </c>
      <c r="B29" s="31">
        <v>8673</v>
      </c>
      <c r="C29" s="31">
        <v>10787</v>
      </c>
      <c r="D29" s="31">
        <v>12462</v>
      </c>
      <c r="E29" s="165">
        <v>9850</v>
      </c>
      <c r="F29" s="31">
        <v>11296</v>
      </c>
      <c r="G29" s="31">
        <v>11640</v>
      </c>
      <c r="H29" s="22">
        <v>12474</v>
      </c>
      <c r="I29" s="22">
        <v>12804</v>
      </c>
      <c r="J29" s="22"/>
      <c r="K29" s="332"/>
      <c r="L29" s="31">
        <v>8071</v>
      </c>
      <c r="M29" s="31">
        <v>10059</v>
      </c>
      <c r="N29" s="31">
        <v>11347</v>
      </c>
      <c r="O29" s="165">
        <v>9460</v>
      </c>
      <c r="P29" s="31">
        <v>10758</v>
      </c>
      <c r="Q29" s="31">
        <v>10889</v>
      </c>
      <c r="R29" s="22">
        <v>11710</v>
      </c>
      <c r="S29" s="22">
        <v>12040</v>
      </c>
      <c r="T29" s="22"/>
      <c r="U29" s="332"/>
      <c r="V29" s="31">
        <v>602</v>
      </c>
      <c r="W29" s="31">
        <v>728</v>
      </c>
      <c r="X29" s="31">
        <v>1115</v>
      </c>
      <c r="Y29" s="165">
        <v>390</v>
      </c>
      <c r="Z29" s="31">
        <v>538</v>
      </c>
      <c r="AA29" s="31">
        <v>751</v>
      </c>
      <c r="AB29" s="22">
        <v>764</v>
      </c>
      <c r="AC29" s="22">
        <v>764</v>
      </c>
      <c r="AD29" s="22"/>
    </row>
    <row r="30" spans="1:30" x14ac:dyDescent="0.25">
      <c r="A30" s="25" t="s">
        <v>214</v>
      </c>
      <c r="B30" s="31" t="s">
        <v>75</v>
      </c>
      <c r="C30" s="31" t="s">
        <v>75</v>
      </c>
      <c r="D30" s="31" t="s">
        <v>75</v>
      </c>
      <c r="E30" s="165">
        <v>248</v>
      </c>
      <c r="F30" s="31">
        <v>172</v>
      </c>
      <c r="G30" s="31">
        <v>191</v>
      </c>
      <c r="H30" s="22">
        <v>357</v>
      </c>
      <c r="I30" s="22">
        <v>202</v>
      </c>
      <c r="J30" s="22"/>
      <c r="K30" s="332"/>
      <c r="L30" s="31" t="s">
        <v>75</v>
      </c>
      <c r="M30" s="31" t="s">
        <v>75</v>
      </c>
      <c r="N30" s="31" t="s">
        <v>75</v>
      </c>
      <c r="O30" s="165">
        <v>186</v>
      </c>
      <c r="P30" s="31">
        <v>125</v>
      </c>
      <c r="Q30" s="31">
        <v>177</v>
      </c>
      <c r="R30" s="22">
        <v>345</v>
      </c>
      <c r="S30" s="22">
        <v>181</v>
      </c>
      <c r="T30" s="22"/>
      <c r="U30" s="332"/>
      <c r="V30" s="31" t="s">
        <v>75</v>
      </c>
      <c r="W30" s="31" t="s">
        <v>75</v>
      </c>
      <c r="X30" s="31" t="s">
        <v>75</v>
      </c>
      <c r="Y30" s="165">
        <v>62</v>
      </c>
      <c r="Z30" s="31">
        <v>47</v>
      </c>
      <c r="AA30" s="31">
        <v>14</v>
      </c>
      <c r="AB30" s="22">
        <v>12</v>
      </c>
      <c r="AC30" s="22">
        <v>21</v>
      </c>
      <c r="AD30" s="22"/>
    </row>
    <row r="31" spans="1:30" ht="14.4" thickBot="1" x14ac:dyDescent="0.3">
      <c r="A31" s="82"/>
      <c r="B31" s="100"/>
      <c r="C31" s="100"/>
      <c r="D31" s="100"/>
      <c r="E31" s="168"/>
      <c r="F31" s="100"/>
      <c r="G31" s="100"/>
      <c r="H31" s="100"/>
      <c r="I31" s="100"/>
      <c r="J31" s="100"/>
      <c r="K31" s="116"/>
      <c r="L31" s="116"/>
      <c r="M31" s="116"/>
      <c r="N31" s="116"/>
      <c r="O31" s="168"/>
      <c r="P31" s="100"/>
      <c r="Q31" s="100"/>
      <c r="R31" s="100"/>
      <c r="S31" s="100"/>
      <c r="T31" s="100"/>
      <c r="U31" s="116"/>
      <c r="V31" s="116"/>
      <c r="W31" s="116"/>
      <c r="X31" s="116"/>
      <c r="Y31" s="168"/>
      <c r="Z31" s="100"/>
      <c r="AA31" s="100"/>
      <c r="AB31" s="100"/>
      <c r="AC31" s="100"/>
      <c r="AD31" s="12"/>
    </row>
    <row r="32" spans="1:30" x14ac:dyDescent="0.25">
      <c r="A32" s="17"/>
      <c r="B32" s="352"/>
      <c r="C32" s="352"/>
      <c r="D32" s="352"/>
      <c r="E32" s="352"/>
      <c r="F32" s="352"/>
      <c r="G32" s="352"/>
      <c r="AD32" s="401"/>
    </row>
    <row r="33" spans="1:34" s="1" customFormat="1" ht="14.25" customHeight="1" x14ac:dyDescent="0.25">
      <c r="A33" s="673" t="s">
        <v>819</v>
      </c>
      <c r="B33" s="673"/>
      <c r="C33" s="673"/>
      <c r="D33" s="673"/>
      <c r="E33" s="673"/>
      <c r="F33" s="673"/>
      <c r="G33" s="673"/>
      <c r="H33" s="673"/>
      <c r="I33" s="673"/>
      <c r="J33" s="673"/>
      <c r="K33" s="673"/>
      <c r="L33" s="673"/>
    </row>
    <row r="34" spans="1:34" s="1" customFormat="1" ht="64.95" customHeight="1" x14ac:dyDescent="0.25">
      <c r="A34" s="673" t="s">
        <v>851</v>
      </c>
      <c r="B34" s="673"/>
      <c r="C34" s="673"/>
      <c r="D34" s="673"/>
      <c r="E34" s="673"/>
      <c r="F34" s="673"/>
      <c r="G34" s="673"/>
      <c r="H34" s="673"/>
      <c r="I34" s="673"/>
      <c r="J34" s="673"/>
      <c r="K34" s="673"/>
      <c r="L34" s="673"/>
      <c r="M34" s="673"/>
      <c r="N34" s="673"/>
      <c r="O34" s="673"/>
    </row>
    <row r="35" spans="1:34" s="1" customFormat="1" ht="13.2" x14ac:dyDescent="0.25">
      <c r="A35" s="352"/>
    </row>
    <row r="36" spans="1:34" s="1" customFormat="1" ht="12.75" customHeight="1" x14ac:dyDescent="0.25">
      <c r="A36" s="674" t="s">
        <v>93</v>
      </c>
      <c r="B36" s="674"/>
      <c r="C36" s="699"/>
      <c r="D36" s="699"/>
      <c r="E36" s="699"/>
      <c r="F36" s="699"/>
      <c r="G36" s="699"/>
      <c r="H36" s="699"/>
      <c r="I36" s="699"/>
      <c r="J36" s="699"/>
      <c r="K36" s="699"/>
      <c r="L36" s="699"/>
      <c r="M36" s="699"/>
      <c r="N36" s="699"/>
      <c r="O36" s="699"/>
      <c r="P36" s="699"/>
      <c r="Q36" s="699"/>
      <c r="R36" s="699"/>
      <c r="S36" s="699"/>
      <c r="T36" s="699"/>
      <c r="U36" s="699"/>
      <c r="V36" s="699"/>
      <c r="W36" s="699"/>
      <c r="X36" s="699"/>
      <c r="Y36" s="699"/>
      <c r="Z36" s="699"/>
      <c r="AA36" s="699"/>
      <c r="AB36" s="699"/>
      <c r="AC36" s="699"/>
      <c r="AD36" s="699"/>
      <c r="AE36" s="699"/>
      <c r="AF36" s="699"/>
      <c r="AG36" s="699"/>
      <c r="AH36" s="699"/>
    </row>
    <row r="37" spans="1:34" ht="15.75" customHeight="1" x14ac:dyDescent="0.25">
      <c r="A37" s="118" t="s">
        <v>94</v>
      </c>
    </row>
  </sheetData>
  <mergeCells count="7">
    <mergeCell ref="A36:AH36"/>
    <mergeCell ref="A4:R4"/>
    <mergeCell ref="A33:L33"/>
    <mergeCell ref="A34:O34"/>
    <mergeCell ref="L7:S7"/>
    <mergeCell ref="B7:I7"/>
    <mergeCell ref="V7:AD7"/>
  </mergeCells>
  <pageMargins left="0.25" right="0.25" top="0.75" bottom="0.75" header="0.3" footer="0.3"/>
  <pageSetup paperSize="9" scale="33" fitToHeight="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7"/>
  <sheetViews>
    <sheetView showGridLines="0" workbookViewId="0">
      <selection activeCell="B1" sqref="B1"/>
    </sheetView>
  </sheetViews>
  <sheetFormatPr defaultColWidth="8.69921875" defaultRowHeight="13.8" x14ac:dyDescent="0.25"/>
  <cols>
    <col min="1" max="1" width="3.5" style="184" customWidth="1"/>
    <col min="2" max="2" width="7.19921875" style="184" customWidth="1"/>
    <col min="3" max="3" width="75.69921875" style="184" customWidth="1"/>
    <col min="4" max="5" width="8.19921875" style="184" customWidth="1"/>
    <col min="6" max="11" width="8.19921875" style="186" customWidth="1"/>
    <col min="12" max="12" width="7.296875" style="184" customWidth="1"/>
    <col min="13" max="14" width="8.19921875" style="184" customWidth="1"/>
    <col min="15" max="16" width="7.796875" style="186" customWidth="1"/>
    <col min="17" max="20" width="8.19921875" style="186" customWidth="1"/>
    <col min="21" max="21" width="7.69921875" style="184" customWidth="1"/>
    <col min="22" max="23" width="8.19921875" style="184" customWidth="1"/>
    <col min="24" max="26" width="8.5" style="184" customWidth="1"/>
    <col min="27" max="28" width="8.19921875" style="186" customWidth="1"/>
    <col min="29" max="16384" width="8.69921875" style="184"/>
  </cols>
  <sheetData>
    <row r="1" spans="1:29" x14ac:dyDescent="0.25">
      <c r="A1" s="275" t="s">
        <v>24</v>
      </c>
      <c r="B1" s="33"/>
      <c r="C1" s="33"/>
      <c r="D1" s="376"/>
      <c r="E1" s="32"/>
      <c r="F1" s="32"/>
      <c r="G1" s="32"/>
      <c r="H1" s="32"/>
      <c r="I1" s="32"/>
      <c r="J1" s="32"/>
      <c r="K1" s="32"/>
      <c r="L1" s="32"/>
      <c r="M1" s="32"/>
      <c r="N1" s="32"/>
      <c r="O1" s="32"/>
      <c r="P1" s="32"/>
      <c r="Q1" s="32"/>
      <c r="R1" s="32"/>
      <c r="S1" s="32"/>
      <c r="T1" s="32"/>
      <c r="U1" s="32"/>
      <c r="V1" s="32"/>
      <c r="W1" s="32"/>
      <c r="X1" s="32"/>
      <c r="Y1" s="32"/>
      <c r="Z1" s="32"/>
      <c r="AA1" s="32"/>
      <c r="AB1" s="32"/>
    </row>
    <row r="2" spans="1:29" x14ac:dyDescent="0.25">
      <c r="A2" s="32"/>
      <c r="B2" s="33"/>
      <c r="C2" s="33"/>
      <c r="D2" s="32"/>
      <c r="E2" s="32"/>
      <c r="F2" s="32"/>
      <c r="G2" s="32"/>
      <c r="H2" s="32"/>
      <c r="I2" s="32"/>
      <c r="J2" s="32"/>
      <c r="K2" s="32"/>
      <c r="L2" s="32"/>
      <c r="M2" s="32"/>
      <c r="N2" s="32"/>
      <c r="O2" s="32"/>
      <c r="P2" s="32"/>
      <c r="Q2" s="32"/>
      <c r="R2" s="32"/>
      <c r="S2" s="32"/>
      <c r="T2" s="32"/>
      <c r="U2" s="32"/>
      <c r="V2" s="32"/>
      <c r="W2" s="32"/>
      <c r="X2" s="32"/>
      <c r="Y2" s="32"/>
      <c r="Z2" s="32"/>
      <c r="AA2" s="32"/>
      <c r="AB2" s="32"/>
    </row>
    <row r="3" spans="1:29" x14ac:dyDescent="0.25">
      <c r="A3" s="185" t="s">
        <v>215</v>
      </c>
      <c r="B3" s="185"/>
      <c r="C3" s="185"/>
      <c r="D3" s="185"/>
      <c r="E3" s="185"/>
    </row>
    <row r="4" spans="1:29" x14ac:dyDescent="0.25">
      <c r="A4" s="185"/>
      <c r="B4" s="185"/>
      <c r="C4" s="185"/>
      <c r="D4" s="185"/>
      <c r="E4" s="185"/>
    </row>
    <row r="5" spans="1:29" ht="45.75" customHeight="1" x14ac:dyDescent="0.25">
      <c r="A5" s="704" t="s">
        <v>216</v>
      </c>
      <c r="B5" s="704"/>
      <c r="C5" s="704"/>
      <c r="D5" s="704"/>
      <c r="E5" s="704"/>
      <c r="F5" s="704"/>
      <c r="G5" s="704"/>
      <c r="H5" s="704"/>
      <c r="I5" s="704"/>
      <c r="J5" s="704"/>
      <c r="K5" s="704"/>
      <c r="L5" s="704"/>
      <c r="M5" s="704"/>
      <c r="N5" s="704"/>
      <c r="O5" s="704"/>
      <c r="P5" s="704"/>
      <c r="Q5" s="704"/>
      <c r="R5" s="704"/>
      <c r="S5" s="704"/>
      <c r="T5" s="704"/>
      <c r="U5" s="704"/>
      <c r="V5" s="704"/>
      <c r="W5" s="704"/>
      <c r="X5" s="704"/>
      <c r="Y5" s="704"/>
      <c r="Z5" s="704"/>
      <c r="AA5" s="704"/>
      <c r="AB5" s="360"/>
    </row>
    <row r="6" spans="1:29" ht="32.25" customHeight="1" x14ac:dyDescent="0.25">
      <c r="A6" s="704" t="s">
        <v>217</v>
      </c>
      <c r="B6" s="704"/>
      <c r="C6" s="704"/>
      <c r="D6" s="704"/>
      <c r="E6" s="704"/>
      <c r="F6" s="704"/>
      <c r="G6" s="704"/>
      <c r="H6" s="704"/>
      <c r="I6" s="704"/>
      <c r="J6" s="704"/>
      <c r="K6" s="704"/>
      <c r="L6" s="704"/>
      <c r="M6" s="704"/>
      <c r="N6" s="704"/>
      <c r="O6" s="704"/>
      <c r="P6" s="704"/>
      <c r="Q6" s="704"/>
      <c r="R6" s="704"/>
      <c r="S6" s="704"/>
      <c r="T6" s="704"/>
      <c r="U6" s="704"/>
      <c r="V6" s="704"/>
      <c r="W6" s="704"/>
      <c r="X6" s="704"/>
      <c r="Y6" s="704"/>
      <c r="Z6" s="704"/>
      <c r="AA6" s="704"/>
      <c r="AB6" s="360"/>
    </row>
    <row r="7" spans="1:29" ht="29.25" customHeight="1" x14ac:dyDescent="0.25">
      <c r="A7" s="704" t="s">
        <v>218</v>
      </c>
      <c r="B7" s="704"/>
      <c r="C7" s="704"/>
      <c r="D7" s="704"/>
      <c r="E7" s="704"/>
      <c r="F7" s="704"/>
      <c r="G7" s="704"/>
      <c r="H7" s="704"/>
      <c r="I7" s="704"/>
      <c r="J7" s="704"/>
      <c r="K7" s="704"/>
      <c r="L7" s="704"/>
      <c r="M7" s="704"/>
      <c r="N7" s="704"/>
      <c r="O7" s="704"/>
      <c r="P7" s="704"/>
      <c r="Q7" s="704"/>
      <c r="R7" s="704"/>
      <c r="S7" s="704"/>
      <c r="T7" s="704"/>
      <c r="U7" s="704"/>
      <c r="V7" s="704"/>
      <c r="W7" s="704"/>
      <c r="X7" s="704"/>
      <c r="Y7" s="704"/>
      <c r="Z7" s="704"/>
      <c r="AA7" s="704"/>
      <c r="AB7" s="360"/>
    </row>
    <row r="8" spans="1:29" ht="14.4" thickBot="1" x14ac:dyDescent="0.3">
      <c r="A8" s="276"/>
      <c r="B8" s="277"/>
      <c r="C8" s="277"/>
      <c r="D8" s="277"/>
      <c r="E8" s="277"/>
      <c r="F8" s="278"/>
      <c r="G8" s="278"/>
      <c r="H8" s="278"/>
      <c r="I8" s="278"/>
      <c r="J8" s="278"/>
      <c r="K8" s="278"/>
      <c r="L8" s="277"/>
      <c r="M8" s="277"/>
      <c r="N8" s="277"/>
      <c r="O8" s="278"/>
      <c r="P8" s="278"/>
      <c r="Q8" s="278"/>
      <c r="R8" s="278"/>
      <c r="S8" s="278"/>
      <c r="T8" s="278"/>
      <c r="U8" s="277"/>
      <c r="V8" s="277"/>
      <c r="W8" s="277"/>
      <c r="X8" s="277"/>
      <c r="Y8" s="277"/>
      <c r="Z8" s="277"/>
      <c r="AA8" s="278"/>
      <c r="AB8" s="278"/>
    </row>
    <row r="9" spans="1:29" ht="30.75" customHeight="1" thickBot="1" x14ac:dyDescent="0.3">
      <c r="A9" s="279"/>
      <c r="B9" s="279"/>
      <c r="C9" s="279"/>
      <c r="D9" s="708" t="s">
        <v>219</v>
      </c>
      <c r="E9" s="708"/>
      <c r="F9" s="708"/>
      <c r="G9" s="708"/>
      <c r="H9" s="708"/>
      <c r="I9" s="708"/>
      <c r="J9" s="708"/>
      <c r="K9" s="708"/>
      <c r="L9" s="280"/>
      <c r="M9" s="708" t="s">
        <v>220</v>
      </c>
      <c r="N9" s="708"/>
      <c r="O9" s="708"/>
      <c r="P9" s="708"/>
      <c r="Q9" s="708"/>
      <c r="R9" s="708"/>
      <c r="S9" s="708"/>
      <c r="T9" s="708"/>
      <c r="U9" s="281"/>
      <c r="V9" s="707" t="s">
        <v>221</v>
      </c>
      <c r="W9" s="707"/>
      <c r="X9" s="707"/>
      <c r="Y9" s="707"/>
      <c r="Z9" s="707"/>
      <c r="AA9" s="707"/>
      <c r="AB9" s="707"/>
      <c r="AC9" s="707"/>
    </row>
    <row r="10" spans="1:29" x14ac:dyDescent="0.25">
      <c r="A10" s="387"/>
      <c r="B10" s="387"/>
      <c r="C10" s="387"/>
      <c r="D10" s="388">
        <v>2015</v>
      </c>
      <c r="E10" s="388">
        <v>2016</v>
      </c>
      <c r="F10" s="282">
        <v>2017</v>
      </c>
      <c r="G10" s="283">
        <v>2018</v>
      </c>
      <c r="H10" s="283">
        <v>2019</v>
      </c>
      <c r="I10" s="283">
        <v>2020</v>
      </c>
      <c r="J10" s="283">
        <v>2021</v>
      </c>
      <c r="K10" s="388">
        <v>2022</v>
      </c>
      <c r="L10" s="389"/>
      <c r="M10" s="388">
        <v>2015</v>
      </c>
      <c r="N10" s="388">
        <v>2016</v>
      </c>
      <c r="O10" s="282">
        <v>2017</v>
      </c>
      <c r="P10" s="283">
        <v>2018</v>
      </c>
      <c r="Q10" s="283">
        <v>2019</v>
      </c>
      <c r="R10" s="283">
        <v>2020</v>
      </c>
      <c r="S10" s="283">
        <v>2021</v>
      </c>
      <c r="T10" s="283">
        <v>2022</v>
      </c>
      <c r="U10" s="389"/>
      <c r="V10" s="388">
        <v>2015</v>
      </c>
      <c r="W10" s="388">
        <v>2016</v>
      </c>
      <c r="X10" s="282">
        <v>2017</v>
      </c>
      <c r="Y10" s="283">
        <v>2018</v>
      </c>
      <c r="Z10" s="283">
        <v>2019</v>
      </c>
      <c r="AA10" s="283">
        <v>2020</v>
      </c>
      <c r="AB10" s="283">
        <v>2021</v>
      </c>
      <c r="AC10" s="283">
        <v>2022</v>
      </c>
    </row>
    <row r="11" spans="1:29" ht="12.75" customHeight="1" x14ac:dyDescent="0.25">
      <c r="A11" s="284"/>
      <c r="B11" s="284"/>
      <c r="C11" s="284"/>
      <c r="D11" s="284"/>
      <c r="E11" s="284"/>
      <c r="F11" s="285"/>
      <c r="G11" s="286"/>
      <c r="H11" s="286"/>
      <c r="I11" s="286"/>
      <c r="J11" s="286"/>
      <c r="K11" s="286"/>
      <c r="L11" s="284"/>
      <c r="M11" s="284"/>
      <c r="N11" s="284"/>
      <c r="O11" s="285"/>
      <c r="P11" s="286"/>
      <c r="Q11" s="286"/>
      <c r="R11" s="286"/>
      <c r="S11" s="286"/>
      <c r="T11" s="286"/>
      <c r="U11" s="284"/>
      <c r="V11" s="284"/>
      <c r="W11" s="284"/>
      <c r="X11" s="285"/>
      <c r="Y11" s="286"/>
      <c r="Z11" s="286"/>
      <c r="AA11" s="286"/>
      <c r="AB11" s="286"/>
      <c r="AC11" s="286"/>
    </row>
    <row r="12" spans="1:29" ht="27.75" customHeight="1" x14ac:dyDescent="0.25">
      <c r="A12" s="706" t="s">
        <v>54</v>
      </c>
      <c r="B12" s="706"/>
      <c r="C12" s="706"/>
      <c r="D12" s="287" t="s">
        <v>55</v>
      </c>
      <c r="E12" s="287" t="s">
        <v>55</v>
      </c>
      <c r="F12" s="288" t="s">
        <v>222</v>
      </c>
      <c r="G12" s="289" t="s">
        <v>222</v>
      </c>
      <c r="H12" s="289" t="s">
        <v>223</v>
      </c>
      <c r="I12" s="289" t="s">
        <v>223</v>
      </c>
      <c r="J12" s="289" t="s">
        <v>223</v>
      </c>
      <c r="K12" s="289" t="s">
        <v>223</v>
      </c>
      <c r="L12" s="289"/>
      <c r="M12" s="287" t="s">
        <v>55</v>
      </c>
      <c r="N12" s="287" t="s">
        <v>55</v>
      </c>
      <c r="O12" s="288" t="s">
        <v>222</v>
      </c>
      <c r="P12" s="289" t="s">
        <v>222</v>
      </c>
      <c r="Q12" s="289" t="s">
        <v>223</v>
      </c>
      <c r="R12" s="289" t="s">
        <v>223</v>
      </c>
      <c r="S12" s="289" t="s">
        <v>223</v>
      </c>
      <c r="T12" s="289" t="s">
        <v>223</v>
      </c>
      <c r="U12" s="290"/>
      <c r="V12" s="287" t="s">
        <v>55</v>
      </c>
      <c r="W12" s="287" t="s">
        <v>55</v>
      </c>
      <c r="X12" s="288" t="s">
        <v>222</v>
      </c>
      <c r="Y12" s="289" t="s">
        <v>222</v>
      </c>
      <c r="Z12" s="289" t="s">
        <v>223</v>
      </c>
      <c r="AA12" s="289" t="s">
        <v>223</v>
      </c>
      <c r="AB12" s="289" t="s">
        <v>223</v>
      </c>
      <c r="AC12" s="289" t="s">
        <v>223</v>
      </c>
    </row>
    <row r="13" spans="1:29" x14ac:dyDescent="0.25">
      <c r="A13" s="284"/>
      <c r="B13" s="284"/>
      <c r="C13" s="284"/>
      <c r="D13" s="284"/>
      <c r="E13" s="284"/>
      <c r="F13" s="291"/>
      <c r="G13" s="286"/>
      <c r="H13" s="286"/>
      <c r="I13"/>
      <c r="J13"/>
      <c r="K13"/>
      <c r="L13" s="284"/>
      <c r="M13" s="284"/>
      <c r="N13" s="284"/>
      <c r="O13" s="291"/>
      <c r="P13" s="286"/>
      <c r="Q13" s="286"/>
      <c r="R13"/>
      <c r="S13"/>
      <c r="T13"/>
      <c r="U13" s="284"/>
      <c r="V13" s="284"/>
      <c r="W13" s="284"/>
      <c r="X13" s="291"/>
      <c r="Y13" s="286"/>
      <c r="Z13" s="286"/>
      <c r="AA13"/>
      <c r="AB13"/>
    </row>
    <row r="14" spans="1:29" ht="15.6" x14ac:dyDescent="0.25">
      <c r="A14" s="201" t="s">
        <v>224</v>
      </c>
      <c r="B14" s="201"/>
      <c r="C14" s="201"/>
      <c r="D14" s="333">
        <v>25117</v>
      </c>
      <c r="E14" s="333">
        <v>25577</v>
      </c>
      <c r="F14" s="334">
        <v>20401</v>
      </c>
      <c r="G14" s="335">
        <v>21439</v>
      </c>
      <c r="H14" s="335">
        <v>21196</v>
      </c>
      <c r="I14" s="335">
        <v>20312</v>
      </c>
      <c r="J14" s="335">
        <v>20494</v>
      </c>
      <c r="K14" s="498" t="s">
        <v>922</v>
      </c>
      <c r="L14" s="336"/>
      <c r="M14" s="333">
        <v>19656</v>
      </c>
      <c r="N14" s="333">
        <v>20151</v>
      </c>
      <c r="O14" s="337">
        <v>14889</v>
      </c>
      <c r="P14" s="333">
        <v>15918</v>
      </c>
      <c r="Q14" s="333">
        <v>15456</v>
      </c>
      <c r="R14" s="333">
        <v>14555</v>
      </c>
      <c r="S14" s="333">
        <v>14800</v>
      </c>
      <c r="T14" s="501" t="s">
        <v>925</v>
      </c>
      <c r="U14" s="338"/>
      <c r="V14" s="333">
        <v>5461</v>
      </c>
      <c r="W14" s="333">
        <v>5426</v>
      </c>
      <c r="X14" s="337">
        <v>5149</v>
      </c>
      <c r="Y14" s="333">
        <v>5175</v>
      </c>
      <c r="Z14" s="333">
        <v>5385</v>
      </c>
      <c r="AA14" s="333">
        <v>5468</v>
      </c>
      <c r="AB14" s="333">
        <v>5449</v>
      </c>
      <c r="AC14" s="501" t="s">
        <v>928</v>
      </c>
    </row>
    <row r="15" spans="1:29" x14ac:dyDescent="0.25">
      <c r="A15" s="201"/>
      <c r="B15" s="292"/>
      <c r="C15" s="292"/>
      <c r="D15" s="216"/>
      <c r="E15" s="216"/>
      <c r="F15" s="293"/>
      <c r="G15" s="294"/>
      <c r="H15" s="294"/>
      <c r="I15" s="294"/>
      <c r="J15" s="294"/>
      <c r="K15" s="294"/>
      <c r="L15" s="187"/>
      <c r="M15" s="216"/>
      <c r="N15" s="216"/>
      <c r="O15" s="218"/>
      <c r="P15" s="216"/>
      <c r="Q15" s="216"/>
      <c r="R15" s="216"/>
      <c r="S15" s="216"/>
      <c r="T15" s="500"/>
      <c r="U15" s="295"/>
      <c r="V15" s="216"/>
      <c r="W15" s="216"/>
      <c r="X15" s="218"/>
      <c r="Y15" s="216"/>
      <c r="Z15" s="216"/>
      <c r="AA15" s="216"/>
      <c r="AB15" s="216"/>
      <c r="AC15" s="500"/>
    </row>
    <row r="16" spans="1:29" x14ac:dyDescent="0.25">
      <c r="A16" s="201" t="s">
        <v>44</v>
      </c>
      <c r="B16" s="292"/>
      <c r="C16" s="292"/>
      <c r="D16" s="216">
        <v>19550</v>
      </c>
      <c r="E16" s="216">
        <v>19515</v>
      </c>
      <c r="F16" s="293">
        <v>16935</v>
      </c>
      <c r="G16" s="294">
        <v>18115</v>
      </c>
      <c r="H16" s="294">
        <v>17900</v>
      </c>
      <c r="I16" s="294">
        <v>16740</v>
      </c>
      <c r="J16" s="294">
        <v>17030</v>
      </c>
      <c r="K16" s="499" t="s">
        <v>923</v>
      </c>
      <c r="L16" s="296"/>
      <c r="M16" s="216">
        <v>14210</v>
      </c>
      <c r="N16" s="216">
        <v>14195</v>
      </c>
      <c r="O16" s="218">
        <v>11415</v>
      </c>
      <c r="P16" s="294">
        <v>12555</v>
      </c>
      <c r="Q16" s="294">
        <v>12195</v>
      </c>
      <c r="R16" s="294">
        <v>11055</v>
      </c>
      <c r="S16" s="294">
        <v>11360</v>
      </c>
      <c r="T16" s="499" t="s">
        <v>926</v>
      </c>
      <c r="U16" s="295"/>
      <c r="V16" s="216">
        <v>5340</v>
      </c>
      <c r="W16" s="216">
        <v>5320</v>
      </c>
      <c r="X16" s="218">
        <v>5180</v>
      </c>
      <c r="Y16" s="294">
        <v>5215</v>
      </c>
      <c r="Z16" s="294">
        <v>5395</v>
      </c>
      <c r="AA16" s="294">
        <v>5455</v>
      </c>
      <c r="AB16" s="294">
        <v>5440</v>
      </c>
      <c r="AC16" s="499" t="s">
        <v>929</v>
      </c>
    </row>
    <row r="17" spans="1:35" x14ac:dyDescent="0.25">
      <c r="A17" s="201" t="s">
        <v>225</v>
      </c>
      <c r="B17" s="292"/>
      <c r="C17" s="292"/>
      <c r="D17" s="216">
        <v>5565</v>
      </c>
      <c r="E17" s="216">
        <v>6060</v>
      </c>
      <c r="F17" s="293">
        <v>3500</v>
      </c>
      <c r="G17" s="294">
        <v>3375</v>
      </c>
      <c r="H17" s="294">
        <v>3285</v>
      </c>
      <c r="I17" s="294">
        <v>3515</v>
      </c>
      <c r="J17" s="294">
        <v>3445</v>
      </c>
      <c r="K17" s="294"/>
      <c r="L17" s="187"/>
      <c r="M17" s="216">
        <v>5445</v>
      </c>
      <c r="N17" s="216">
        <v>5955</v>
      </c>
      <c r="O17" s="218">
        <v>3410</v>
      </c>
      <c r="P17" s="294">
        <v>3330</v>
      </c>
      <c r="Q17" s="294">
        <v>3220</v>
      </c>
      <c r="R17" s="294">
        <v>3450</v>
      </c>
      <c r="S17" s="294">
        <v>3395</v>
      </c>
      <c r="T17" s="499"/>
      <c r="U17" s="295"/>
      <c r="V17" s="216">
        <v>120</v>
      </c>
      <c r="W17" s="216">
        <v>105</v>
      </c>
      <c r="X17" s="218">
        <v>60</v>
      </c>
      <c r="Y17" s="294">
        <v>40</v>
      </c>
      <c r="Z17" s="294">
        <v>50</v>
      </c>
      <c r="AA17" s="294">
        <v>50</v>
      </c>
      <c r="AB17" s="294">
        <v>35</v>
      </c>
      <c r="AC17" s="499"/>
    </row>
    <row r="18" spans="1:35" x14ac:dyDescent="0.25">
      <c r="A18" s="284"/>
      <c r="B18" s="284"/>
      <c r="C18" s="284"/>
      <c r="D18" s="294"/>
      <c r="E18" s="294"/>
      <c r="F18" s="294"/>
      <c r="G18" s="294"/>
      <c r="H18" s="294"/>
      <c r="I18" s="294"/>
      <c r="J18" s="294"/>
      <c r="K18" s="294"/>
      <c r="L18" s="294"/>
      <c r="M18" s="294"/>
      <c r="N18" s="294"/>
      <c r="O18" s="294"/>
      <c r="P18" s="294"/>
      <c r="Q18" s="294"/>
      <c r="R18" s="294"/>
      <c r="S18" s="294"/>
      <c r="T18" s="499"/>
      <c r="U18" s="294"/>
      <c r="V18" s="294"/>
      <c r="W18" s="294"/>
      <c r="X18" s="294"/>
      <c r="Y18" s="294"/>
      <c r="Z18" s="294"/>
      <c r="AA18" s="294"/>
      <c r="AB18" s="294"/>
      <c r="AC18" s="499"/>
    </row>
    <row r="19" spans="1:35" ht="15" customHeight="1" x14ac:dyDescent="0.25">
      <c r="A19" s="201" t="s">
        <v>226</v>
      </c>
      <c r="B19" s="292"/>
      <c r="C19" s="292"/>
      <c r="D19" s="216"/>
      <c r="E19" s="216"/>
      <c r="F19" s="216"/>
      <c r="G19" s="216"/>
      <c r="H19" s="216"/>
      <c r="I19" s="216"/>
      <c r="J19" s="216"/>
      <c r="K19" s="216"/>
      <c r="L19" s="216"/>
      <c r="M19" s="216"/>
      <c r="N19" s="216"/>
      <c r="O19" s="216"/>
      <c r="P19" s="216"/>
      <c r="Q19" s="216"/>
      <c r="R19" s="216"/>
      <c r="S19" s="216"/>
      <c r="T19" s="500"/>
      <c r="U19" s="216"/>
      <c r="V19" s="216"/>
      <c r="W19" s="216"/>
      <c r="X19" s="216"/>
      <c r="Y19" s="216"/>
      <c r="Z19" s="216"/>
      <c r="AA19" s="216"/>
      <c r="AB19" s="216"/>
      <c r="AC19" s="500"/>
    </row>
    <row r="20" spans="1:35" s="189" customFormat="1" ht="16.2" customHeight="1" x14ac:dyDescent="0.25">
      <c r="B20" s="217" t="s">
        <v>228</v>
      </c>
      <c r="C20" s="191" t="s">
        <v>229</v>
      </c>
      <c r="D20" s="216" t="s">
        <v>75</v>
      </c>
      <c r="E20" s="216" t="s">
        <v>75</v>
      </c>
      <c r="F20" s="218" t="s">
        <v>230</v>
      </c>
      <c r="G20" s="216" t="s">
        <v>230</v>
      </c>
      <c r="H20" s="216" t="s">
        <v>230</v>
      </c>
      <c r="I20" s="216" t="s">
        <v>75</v>
      </c>
      <c r="J20" s="216" t="s">
        <v>75</v>
      </c>
      <c r="K20" s="500" t="s">
        <v>924</v>
      </c>
      <c r="L20" s="188"/>
      <c r="M20" s="216" t="s">
        <v>75</v>
      </c>
      <c r="N20" s="216" t="s">
        <v>75</v>
      </c>
      <c r="O20" s="218" t="s">
        <v>230</v>
      </c>
      <c r="P20" s="216" t="s">
        <v>230</v>
      </c>
      <c r="Q20" s="216" t="s">
        <v>230</v>
      </c>
      <c r="R20" s="216" t="s">
        <v>75</v>
      </c>
      <c r="S20" s="216" t="s">
        <v>75</v>
      </c>
      <c r="T20" s="500" t="s">
        <v>927</v>
      </c>
      <c r="U20" s="188"/>
      <c r="V20" s="216" t="s">
        <v>75</v>
      </c>
      <c r="W20" s="216" t="s">
        <v>75</v>
      </c>
      <c r="X20" s="218" t="s">
        <v>230</v>
      </c>
      <c r="Y20" s="216" t="s">
        <v>230</v>
      </c>
      <c r="Z20" s="216" t="s">
        <v>230</v>
      </c>
      <c r="AA20" s="213" t="s">
        <v>75</v>
      </c>
      <c r="AB20" s="213" t="s">
        <v>75</v>
      </c>
      <c r="AC20" s="500" t="s">
        <v>930</v>
      </c>
      <c r="AI20" s="184"/>
    </row>
    <row r="21" spans="1:35" s="189" customFormat="1" ht="16.2" customHeight="1" x14ac:dyDescent="0.25">
      <c r="A21" s="292"/>
      <c r="B21" s="217" t="s">
        <v>231</v>
      </c>
      <c r="C21" s="217" t="s">
        <v>232</v>
      </c>
      <c r="D21" s="216">
        <v>480</v>
      </c>
      <c r="E21" s="216">
        <v>510</v>
      </c>
      <c r="F21" s="218">
        <v>480</v>
      </c>
      <c r="G21" s="216">
        <v>500</v>
      </c>
      <c r="H21" s="216">
        <v>520</v>
      </c>
      <c r="I21" s="216">
        <v>485</v>
      </c>
      <c r="J21" s="216">
        <v>510</v>
      </c>
      <c r="K21" s="216"/>
      <c r="L21" s="188"/>
      <c r="M21" s="216">
        <v>320</v>
      </c>
      <c r="N21" s="216">
        <v>365</v>
      </c>
      <c r="O21" s="218">
        <v>335</v>
      </c>
      <c r="P21" s="216">
        <v>330</v>
      </c>
      <c r="Q21" s="216">
        <v>340</v>
      </c>
      <c r="R21" s="216">
        <v>290</v>
      </c>
      <c r="S21" s="216">
        <v>300</v>
      </c>
      <c r="T21" s="500"/>
      <c r="U21" s="187"/>
      <c r="V21" s="216">
        <v>160</v>
      </c>
      <c r="W21" s="216">
        <v>145</v>
      </c>
      <c r="X21" s="200">
        <v>135</v>
      </c>
      <c r="Y21" s="213">
        <v>160</v>
      </c>
      <c r="Z21" s="213">
        <v>170</v>
      </c>
      <c r="AA21" s="213">
        <v>190</v>
      </c>
      <c r="AB21" s="213">
        <v>205</v>
      </c>
      <c r="AC21" s="500"/>
      <c r="AI21" s="184"/>
    </row>
    <row r="22" spans="1:35" s="189" customFormat="1" ht="16.2" customHeight="1" x14ac:dyDescent="0.25">
      <c r="A22" s="292"/>
      <c r="B22" s="217" t="s">
        <v>233</v>
      </c>
      <c r="C22" s="217" t="s">
        <v>234</v>
      </c>
      <c r="D22" s="216">
        <v>415</v>
      </c>
      <c r="E22" s="216">
        <v>440</v>
      </c>
      <c r="F22" s="218">
        <v>525</v>
      </c>
      <c r="G22" s="216">
        <v>510</v>
      </c>
      <c r="H22" s="216">
        <v>560</v>
      </c>
      <c r="I22" s="216">
        <v>560</v>
      </c>
      <c r="J22" s="216">
        <v>580</v>
      </c>
      <c r="K22" s="216"/>
      <c r="L22" s="188"/>
      <c r="M22" s="216">
        <v>315</v>
      </c>
      <c r="N22" s="216">
        <v>360</v>
      </c>
      <c r="O22" s="218">
        <v>95</v>
      </c>
      <c r="P22" s="216">
        <v>95</v>
      </c>
      <c r="Q22" s="216">
        <v>100</v>
      </c>
      <c r="R22" s="216">
        <v>90</v>
      </c>
      <c r="S22" s="216">
        <v>95</v>
      </c>
      <c r="T22" s="500"/>
      <c r="U22" s="187"/>
      <c r="V22" s="216">
        <v>100</v>
      </c>
      <c r="W22" s="216">
        <v>80</v>
      </c>
      <c r="X22" s="200">
        <v>430</v>
      </c>
      <c r="Y22" s="213">
        <v>410</v>
      </c>
      <c r="Z22" s="213">
        <v>460</v>
      </c>
      <c r="AA22" s="213">
        <v>460</v>
      </c>
      <c r="AB22" s="213">
        <v>475</v>
      </c>
      <c r="AC22" s="500"/>
      <c r="AI22" s="184"/>
    </row>
    <row r="23" spans="1:35" s="189" customFormat="1" ht="16.2" customHeight="1" x14ac:dyDescent="0.25">
      <c r="A23" s="292"/>
      <c r="B23" s="217" t="s">
        <v>235</v>
      </c>
      <c r="C23" s="217" t="s">
        <v>236</v>
      </c>
      <c r="D23" s="216">
        <v>120</v>
      </c>
      <c r="E23" s="216">
        <v>120</v>
      </c>
      <c r="F23" s="218" t="s">
        <v>230</v>
      </c>
      <c r="G23" s="216">
        <v>105</v>
      </c>
      <c r="H23" s="216">
        <v>145</v>
      </c>
      <c r="I23" s="216">
        <v>140</v>
      </c>
      <c r="J23" s="216">
        <v>120</v>
      </c>
      <c r="K23" s="216"/>
      <c r="L23" s="188"/>
      <c r="M23" s="216">
        <v>80</v>
      </c>
      <c r="N23" s="216">
        <v>85</v>
      </c>
      <c r="O23" s="218" t="s">
        <v>230</v>
      </c>
      <c r="P23" s="216">
        <v>40</v>
      </c>
      <c r="Q23" s="216">
        <v>90</v>
      </c>
      <c r="R23" s="216">
        <v>95</v>
      </c>
      <c r="S23" s="216">
        <v>90</v>
      </c>
      <c r="T23" s="500"/>
      <c r="U23" s="187"/>
      <c r="V23" s="216">
        <v>35</v>
      </c>
      <c r="W23" s="216">
        <v>35</v>
      </c>
      <c r="X23" s="200" t="s">
        <v>230</v>
      </c>
      <c r="Y23" s="213">
        <v>50</v>
      </c>
      <c r="Z23" s="213">
        <v>50</v>
      </c>
      <c r="AA23" s="213">
        <v>40</v>
      </c>
      <c r="AB23" s="213">
        <v>30</v>
      </c>
      <c r="AC23" s="500"/>
      <c r="AI23" s="184"/>
    </row>
    <row r="24" spans="1:35" s="189" customFormat="1" ht="16.2" customHeight="1" x14ac:dyDescent="0.25">
      <c r="A24" s="292"/>
      <c r="B24" s="217" t="s">
        <v>237</v>
      </c>
      <c r="C24" s="217" t="s">
        <v>238</v>
      </c>
      <c r="D24" s="216">
        <v>730</v>
      </c>
      <c r="E24" s="216">
        <v>705</v>
      </c>
      <c r="F24" s="218">
        <v>770</v>
      </c>
      <c r="G24" s="216">
        <v>805</v>
      </c>
      <c r="H24" s="216">
        <v>860</v>
      </c>
      <c r="I24" s="216">
        <v>860</v>
      </c>
      <c r="J24" s="216">
        <v>910</v>
      </c>
      <c r="K24" s="216"/>
      <c r="L24" s="188"/>
      <c r="M24" s="216">
        <v>520</v>
      </c>
      <c r="N24" s="216">
        <v>505</v>
      </c>
      <c r="O24" s="218">
        <v>500</v>
      </c>
      <c r="P24" s="216">
        <v>520</v>
      </c>
      <c r="Q24" s="216">
        <v>550</v>
      </c>
      <c r="R24" s="216">
        <v>545</v>
      </c>
      <c r="S24" s="216">
        <v>545</v>
      </c>
      <c r="T24" s="500"/>
      <c r="U24" s="187"/>
      <c r="V24" s="216">
        <v>210</v>
      </c>
      <c r="W24" s="216">
        <v>205</v>
      </c>
      <c r="X24" s="200">
        <v>270</v>
      </c>
      <c r="Y24" s="213">
        <v>285</v>
      </c>
      <c r="Z24" s="213">
        <v>310</v>
      </c>
      <c r="AA24" s="213">
        <v>315</v>
      </c>
      <c r="AB24" s="213">
        <v>360</v>
      </c>
      <c r="AC24" s="500"/>
      <c r="AI24" s="184"/>
    </row>
    <row r="25" spans="1:35" s="189" customFormat="1" ht="16.2" customHeight="1" x14ac:dyDescent="0.25">
      <c r="B25" s="217" t="s">
        <v>239</v>
      </c>
      <c r="C25" s="217" t="s">
        <v>240</v>
      </c>
      <c r="D25" s="216">
        <v>150</v>
      </c>
      <c r="E25" s="216">
        <v>130</v>
      </c>
      <c r="F25" s="200">
        <v>50</v>
      </c>
      <c r="G25" s="213">
        <v>35</v>
      </c>
      <c r="H25" s="213">
        <v>85</v>
      </c>
      <c r="I25" s="216">
        <v>85</v>
      </c>
      <c r="J25" s="216">
        <v>115</v>
      </c>
      <c r="K25" s="216"/>
      <c r="L25" s="188"/>
      <c r="M25" s="216">
        <v>95</v>
      </c>
      <c r="N25" s="216">
        <v>85</v>
      </c>
      <c r="O25" s="200">
        <v>50</v>
      </c>
      <c r="P25" s="213">
        <v>35</v>
      </c>
      <c r="Q25" s="213">
        <v>85</v>
      </c>
      <c r="R25" s="216">
        <v>85</v>
      </c>
      <c r="S25" s="216">
        <v>115</v>
      </c>
      <c r="T25" s="500"/>
      <c r="U25" s="187"/>
      <c r="V25" s="216">
        <v>50</v>
      </c>
      <c r="W25" s="216">
        <v>45</v>
      </c>
      <c r="X25" s="200" t="s">
        <v>230</v>
      </c>
      <c r="Y25" s="213" t="s">
        <v>230</v>
      </c>
      <c r="Z25" s="213" t="s">
        <v>230</v>
      </c>
      <c r="AA25" s="213" t="s">
        <v>75</v>
      </c>
      <c r="AB25" s="213" t="s">
        <v>75</v>
      </c>
      <c r="AC25" s="500"/>
      <c r="AI25" s="184"/>
    </row>
    <row r="26" spans="1:35" s="189" customFormat="1" ht="16.2" customHeight="1" x14ac:dyDescent="0.25">
      <c r="A26" s="292"/>
      <c r="B26" s="217" t="s">
        <v>241</v>
      </c>
      <c r="C26" s="217" t="s">
        <v>242</v>
      </c>
      <c r="D26" s="216">
        <v>205</v>
      </c>
      <c r="E26" s="216">
        <v>200</v>
      </c>
      <c r="F26" s="200">
        <v>205</v>
      </c>
      <c r="G26" s="213">
        <v>220</v>
      </c>
      <c r="H26" s="213">
        <v>180</v>
      </c>
      <c r="I26" s="216">
        <v>175</v>
      </c>
      <c r="J26" s="216">
        <v>155</v>
      </c>
      <c r="K26" s="216"/>
      <c r="L26" s="188"/>
      <c r="M26" s="216">
        <v>135</v>
      </c>
      <c r="N26" s="216">
        <v>140</v>
      </c>
      <c r="O26" s="218">
        <v>125</v>
      </c>
      <c r="P26" s="216">
        <v>135</v>
      </c>
      <c r="Q26" s="216">
        <v>145</v>
      </c>
      <c r="R26" s="216">
        <v>130</v>
      </c>
      <c r="S26" s="216">
        <v>115</v>
      </c>
      <c r="T26" s="500"/>
      <c r="U26" s="187"/>
      <c r="V26" s="216">
        <v>70</v>
      </c>
      <c r="W26" s="216">
        <v>60</v>
      </c>
      <c r="X26" s="200">
        <v>80</v>
      </c>
      <c r="Y26" s="213">
        <v>85</v>
      </c>
      <c r="Z26" s="213">
        <v>15</v>
      </c>
      <c r="AA26" s="213">
        <v>30</v>
      </c>
      <c r="AB26" s="213">
        <v>35</v>
      </c>
      <c r="AC26" s="500"/>
      <c r="AI26" s="184"/>
    </row>
    <row r="27" spans="1:35" s="189" customFormat="1" ht="16.2" customHeight="1" x14ac:dyDescent="0.25">
      <c r="A27" s="292"/>
      <c r="B27" s="217" t="s">
        <v>243</v>
      </c>
      <c r="C27" s="217" t="s">
        <v>244</v>
      </c>
      <c r="D27" s="216">
        <v>165</v>
      </c>
      <c r="E27" s="216">
        <v>145</v>
      </c>
      <c r="F27" s="218">
        <v>85</v>
      </c>
      <c r="G27" s="216">
        <v>95</v>
      </c>
      <c r="H27" s="216">
        <v>100</v>
      </c>
      <c r="I27" s="216">
        <v>80</v>
      </c>
      <c r="J27" s="216">
        <v>90</v>
      </c>
      <c r="K27" s="216"/>
      <c r="L27" s="188"/>
      <c r="M27" s="216">
        <v>100</v>
      </c>
      <c r="N27" s="216">
        <v>90</v>
      </c>
      <c r="O27" s="218">
        <v>80</v>
      </c>
      <c r="P27" s="216">
        <v>95</v>
      </c>
      <c r="Q27" s="216">
        <v>100</v>
      </c>
      <c r="R27" s="216">
        <v>80</v>
      </c>
      <c r="S27" s="216">
        <v>90</v>
      </c>
      <c r="T27" s="500"/>
      <c r="U27" s="187"/>
      <c r="V27" s="216">
        <v>65</v>
      </c>
      <c r="W27" s="216">
        <v>60</v>
      </c>
      <c r="X27" s="200" t="s">
        <v>230</v>
      </c>
      <c r="Y27" s="213" t="s">
        <v>230</v>
      </c>
      <c r="Z27" s="213" t="s">
        <v>230</v>
      </c>
      <c r="AA27" s="213" t="s">
        <v>75</v>
      </c>
      <c r="AB27" s="213" t="s">
        <v>75</v>
      </c>
      <c r="AC27" s="500"/>
      <c r="AI27" s="184"/>
    </row>
    <row r="28" spans="1:35" s="189" customFormat="1" ht="16.2" customHeight="1" x14ac:dyDescent="0.25">
      <c r="A28" s="292"/>
      <c r="B28" s="217" t="s">
        <v>245</v>
      </c>
      <c r="C28" s="217" t="s">
        <v>246</v>
      </c>
      <c r="D28" s="216">
        <v>315</v>
      </c>
      <c r="E28" s="216">
        <v>285</v>
      </c>
      <c r="F28" s="200">
        <v>415</v>
      </c>
      <c r="G28" s="213">
        <v>400</v>
      </c>
      <c r="H28" s="213">
        <v>420</v>
      </c>
      <c r="I28" s="216">
        <v>395</v>
      </c>
      <c r="J28" s="216">
        <v>400</v>
      </c>
      <c r="K28" s="216"/>
      <c r="L28" s="188"/>
      <c r="M28" s="216">
        <v>170</v>
      </c>
      <c r="N28" s="216">
        <v>165</v>
      </c>
      <c r="O28" s="218">
        <v>205</v>
      </c>
      <c r="P28" s="216">
        <v>210</v>
      </c>
      <c r="Q28" s="216">
        <v>200</v>
      </c>
      <c r="R28" s="216">
        <v>170</v>
      </c>
      <c r="S28" s="216">
        <v>200</v>
      </c>
      <c r="T28" s="500"/>
      <c r="U28" s="187"/>
      <c r="V28" s="216">
        <v>145</v>
      </c>
      <c r="W28" s="216">
        <v>120</v>
      </c>
      <c r="X28" s="200">
        <v>205</v>
      </c>
      <c r="Y28" s="213">
        <v>190</v>
      </c>
      <c r="Z28" s="213">
        <v>215</v>
      </c>
      <c r="AA28" s="213">
        <v>220</v>
      </c>
      <c r="AB28" s="213">
        <v>195</v>
      </c>
      <c r="AC28" s="500"/>
      <c r="AI28" s="184"/>
    </row>
    <row r="29" spans="1:35" s="189" customFormat="1" ht="16.2" customHeight="1" x14ac:dyDescent="0.25">
      <c r="A29" s="292"/>
      <c r="B29" s="217" t="s">
        <v>247</v>
      </c>
      <c r="C29" s="217" t="s">
        <v>248</v>
      </c>
      <c r="D29" s="216">
        <v>935</v>
      </c>
      <c r="E29" s="216">
        <v>880</v>
      </c>
      <c r="F29" s="218">
        <v>760</v>
      </c>
      <c r="G29" s="216">
        <v>730</v>
      </c>
      <c r="H29" s="216">
        <v>815</v>
      </c>
      <c r="I29" s="216">
        <v>750</v>
      </c>
      <c r="J29" s="216">
        <v>840</v>
      </c>
      <c r="K29" s="216"/>
      <c r="L29" s="188"/>
      <c r="M29" s="216">
        <v>775</v>
      </c>
      <c r="N29" s="216">
        <v>680</v>
      </c>
      <c r="O29" s="218">
        <v>420</v>
      </c>
      <c r="P29" s="216">
        <v>460</v>
      </c>
      <c r="Q29" s="216">
        <v>485</v>
      </c>
      <c r="R29" s="216">
        <v>390</v>
      </c>
      <c r="S29" s="216">
        <v>440</v>
      </c>
      <c r="T29" s="500"/>
      <c r="U29" s="187"/>
      <c r="V29" s="216">
        <v>160</v>
      </c>
      <c r="W29" s="216">
        <v>200</v>
      </c>
      <c r="X29" s="200">
        <v>240</v>
      </c>
      <c r="Y29" s="213">
        <v>230</v>
      </c>
      <c r="Z29" s="213">
        <v>315</v>
      </c>
      <c r="AA29" s="213">
        <v>345</v>
      </c>
      <c r="AB29" s="213">
        <v>385</v>
      </c>
      <c r="AC29" s="500"/>
      <c r="AI29" s="184"/>
    </row>
    <row r="30" spans="1:35" s="189" customFormat="1" ht="16.2" customHeight="1" x14ac:dyDescent="0.25">
      <c r="B30" s="217" t="s">
        <v>249</v>
      </c>
      <c r="C30" s="217" t="s">
        <v>250</v>
      </c>
      <c r="D30" s="216">
        <v>295</v>
      </c>
      <c r="E30" s="216">
        <v>380</v>
      </c>
      <c r="F30" s="218">
        <v>350</v>
      </c>
      <c r="G30" s="216">
        <v>375</v>
      </c>
      <c r="H30" s="216">
        <v>360</v>
      </c>
      <c r="I30" s="216">
        <v>355</v>
      </c>
      <c r="J30" s="216">
        <v>365</v>
      </c>
      <c r="K30" s="216"/>
      <c r="L30" s="188"/>
      <c r="M30" s="216">
        <v>155</v>
      </c>
      <c r="N30" s="216">
        <v>230</v>
      </c>
      <c r="O30" s="218">
        <v>205</v>
      </c>
      <c r="P30" s="216">
        <v>210</v>
      </c>
      <c r="Q30" s="216">
        <v>185</v>
      </c>
      <c r="R30" s="216">
        <v>180</v>
      </c>
      <c r="S30" s="216">
        <v>200</v>
      </c>
      <c r="T30" s="500"/>
      <c r="U30" s="187"/>
      <c r="V30" s="216">
        <v>145</v>
      </c>
      <c r="W30" s="216">
        <v>150</v>
      </c>
      <c r="X30" s="200">
        <v>145</v>
      </c>
      <c r="Y30" s="213">
        <v>165</v>
      </c>
      <c r="Z30" s="213">
        <v>175</v>
      </c>
      <c r="AA30" s="213">
        <v>175</v>
      </c>
      <c r="AB30" s="213">
        <v>165</v>
      </c>
      <c r="AC30" s="500"/>
      <c r="AI30" s="184"/>
    </row>
    <row r="31" spans="1:35" s="189" customFormat="1" ht="16.2" customHeight="1" x14ac:dyDescent="0.25">
      <c r="A31" s="292"/>
      <c r="B31" s="217" t="s">
        <v>251</v>
      </c>
      <c r="C31" s="217" t="s">
        <v>252</v>
      </c>
      <c r="D31" s="216">
        <v>120</v>
      </c>
      <c r="E31" s="216">
        <v>105</v>
      </c>
      <c r="F31" s="218">
        <v>125</v>
      </c>
      <c r="G31" s="216">
        <v>105</v>
      </c>
      <c r="H31" s="216">
        <v>100</v>
      </c>
      <c r="I31" s="216">
        <v>115</v>
      </c>
      <c r="J31" s="216">
        <v>125</v>
      </c>
      <c r="K31" s="216"/>
      <c r="L31" s="188"/>
      <c r="M31" s="216">
        <v>80</v>
      </c>
      <c r="N31" s="216">
        <v>75</v>
      </c>
      <c r="O31" s="218">
        <v>85</v>
      </c>
      <c r="P31" s="216">
        <v>70</v>
      </c>
      <c r="Q31" s="216">
        <v>50</v>
      </c>
      <c r="R31" s="216">
        <v>75</v>
      </c>
      <c r="S31" s="216">
        <v>80</v>
      </c>
      <c r="T31" s="500"/>
      <c r="U31" s="187"/>
      <c r="V31" s="216">
        <v>40</v>
      </c>
      <c r="W31" s="216">
        <v>30</v>
      </c>
      <c r="X31" s="200">
        <v>45</v>
      </c>
      <c r="Y31" s="213">
        <v>35</v>
      </c>
      <c r="Z31" s="213">
        <v>50</v>
      </c>
      <c r="AA31" s="213">
        <v>40</v>
      </c>
      <c r="AB31" s="213">
        <v>40</v>
      </c>
      <c r="AC31" s="500"/>
      <c r="AI31" s="184"/>
    </row>
    <row r="32" spans="1:35" s="189" customFormat="1" ht="16.2" customHeight="1" x14ac:dyDescent="0.25">
      <c r="A32" s="292"/>
      <c r="B32" s="217" t="s">
        <v>253</v>
      </c>
      <c r="C32" s="217" t="s">
        <v>254</v>
      </c>
      <c r="D32" s="216">
        <v>355</v>
      </c>
      <c r="E32" s="216">
        <v>320</v>
      </c>
      <c r="F32" s="200">
        <v>200</v>
      </c>
      <c r="G32" s="213">
        <v>220</v>
      </c>
      <c r="H32" s="213">
        <v>255</v>
      </c>
      <c r="I32" s="216">
        <v>220</v>
      </c>
      <c r="J32" s="216">
        <v>230</v>
      </c>
      <c r="K32" s="216"/>
      <c r="L32" s="188"/>
      <c r="M32" s="216">
        <v>255</v>
      </c>
      <c r="N32" s="216">
        <v>245</v>
      </c>
      <c r="O32" s="218">
        <v>125</v>
      </c>
      <c r="P32" s="216">
        <v>150</v>
      </c>
      <c r="Q32" s="216">
        <v>200</v>
      </c>
      <c r="R32" s="216">
        <v>170</v>
      </c>
      <c r="S32" s="216">
        <v>165</v>
      </c>
      <c r="T32" s="500"/>
      <c r="U32" s="187"/>
      <c r="V32" s="216">
        <v>100</v>
      </c>
      <c r="W32" s="216">
        <v>75</v>
      </c>
      <c r="X32" s="200">
        <v>75</v>
      </c>
      <c r="Y32" s="213">
        <v>70</v>
      </c>
      <c r="Z32" s="213">
        <v>60</v>
      </c>
      <c r="AA32" s="213">
        <v>45</v>
      </c>
      <c r="AB32" s="213">
        <v>60</v>
      </c>
      <c r="AC32" s="500"/>
      <c r="AI32" s="184"/>
    </row>
    <row r="33" spans="1:35" s="189" customFormat="1" ht="16.2" customHeight="1" x14ac:dyDescent="0.25">
      <c r="A33" s="292"/>
      <c r="B33" s="217" t="s">
        <v>257</v>
      </c>
      <c r="C33" s="217" t="s">
        <v>258</v>
      </c>
      <c r="D33" s="216">
        <v>10</v>
      </c>
      <c r="E33" s="216">
        <v>25</v>
      </c>
      <c r="F33" s="200" t="s">
        <v>230</v>
      </c>
      <c r="G33" s="213" t="s">
        <v>230</v>
      </c>
      <c r="H33" s="213">
        <v>5</v>
      </c>
      <c r="I33" s="216" t="s">
        <v>75</v>
      </c>
      <c r="J33" s="216">
        <v>15</v>
      </c>
      <c r="K33" s="216"/>
      <c r="L33" s="188"/>
      <c r="M33" s="216">
        <v>10</v>
      </c>
      <c r="N33" s="216">
        <v>25</v>
      </c>
      <c r="O33" s="218" t="s">
        <v>230</v>
      </c>
      <c r="P33" s="216" t="s">
        <v>230</v>
      </c>
      <c r="Q33" s="216">
        <v>5</v>
      </c>
      <c r="R33" s="216" t="s">
        <v>75</v>
      </c>
      <c r="S33" s="216">
        <v>15</v>
      </c>
      <c r="T33" s="500"/>
      <c r="U33" s="187"/>
      <c r="V33" s="216" t="s">
        <v>230</v>
      </c>
      <c r="W33" s="216" t="s">
        <v>230</v>
      </c>
      <c r="X33" s="200" t="s">
        <v>230</v>
      </c>
      <c r="Y33" s="213" t="s">
        <v>230</v>
      </c>
      <c r="Z33" s="213" t="s">
        <v>230</v>
      </c>
      <c r="AA33" s="213" t="s">
        <v>75</v>
      </c>
      <c r="AB33" s="213" t="s">
        <v>75</v>
      </c>
      <c r="AC33" s="500"/>
      <c r="AI33" s="184"/>
    </row>
    <row r="34" spans="1:35" s="189" customFormat="1" ht="16.2" customHeight="1" x14ac:dyDescent="0.25">
      <c r="B34" s="217" t="s">
        <v>259</v>
      </c>
      <c r="C34" s="217" t="s">
        <v>260</v>
      </c>
      <c r="D34" s="216">
        <v>245</v>
      </c>
      <c r="E34" s="216">
        <v>225</v>
      </c>
      <c r="F34" s="218">
        <v>235</v>
      </c>
      <c r="G34" s="216">
        <v>230</v>
      </c>
      <c r="H34" s="216">
        <v>235</v>
      </c>
      <c r="I34" s="216">
        <v>230</v>
      </c>
      <c r="J34" s="216">
        <v>200</v>
      </c>
      <c r="K34" s="216"/>
      <c r="L34" s="188"/>
      <c r="M34" s="216">
        <v>140</v>
      </c>
      <c r="N34" s="216">
        <v>120</v>
      </c>
      <c r="O34" s="218">
        <v>130</v>
      </c>
      <c r="P34" s="216">
        <v>125</v>
      </c>
      <c r="Q34" s="216">
        <v>135</v>
      </c>
      <c r="R34" s="216">
        <v>115</v>
      </c>
      <c r="S34" s="216">
        <v>100</v>
      </c>
      <c r="T34" s="500"/>
      <c r="U34" s="187"/>
      <c r="V34" s="216">
        <v>100</v>
      </c>
      <c r="W34" s="216">
        <v>110</v>
      </c>
      <c r="X34" s="200">
        <v>105</v>
      </c>
      <c r="Y34" s="213">
        <v>105</v>
      </c>
      <c r="Z34" s="213">
        <v>100</v>
      </c>
      <c r="AA34" s="213">
        <v>115</v>
      </c>
      <c r="AB34" s="213">
        <v>95</v>
      </c>
      <c r="AC34" s="500"/>
      <c r="AI34" s="184"/>
    </row>
    <row r="35" spans="1:35" s="189" customFormat="1" ht="16.2" customHeight="1" x14ac:dyDescent="0.25">
      <c r="A35" s="292"/>
      <c r="B35" s="217" t="s">
        <v>261</v>
      </c>
      <c r="C35" s="217" t="s">
        <v>262</v>
      </c>
      <c r="D35" s="216">
        <v>255</v>
      </c>
      <c r="E35" s="216">
        <v>285</v>
      </c>
      <c r="F35" s="218">
        <v>150</v>
      </c>
      <c r="G35" s="216">
        <v>145</v>
      </c>
      <c r="H35" s="216">
        <v>160</v>
      </c>
      <c r="I35" s="216">
        <v>135</v>
      </c>
      <c r="J35" s="216">
        <v>140</v>
      </c>
      <c r="K35" s="216"/>
      <c r="L35" s="188"/>
      <c r="M35" s="216">
        <v>185</v>
      </c>
      <c r="N35" s="216">
        <v>215</v>
      </c>
      <c r="O35" s="218">
        <v>140</v>
      </c>
      <c r="P35" s="216">
        <v>130</v>
      </c>
      <c r="Q35" s="216">
        <v>145</v>
      </c>
      <c r="R35" s="216">
        <v>125</v>
      </c>
      <c r="S35" s="216">
        <v>130</v>
      </c>
      <c r="T35" s="500"/>
      <c r="U35" s="187"/>
      <c r="V35" s="216">
        <v>70</v>
      </c>
      <c r="W35" s="216">
        <v>70</v>
      </c>
      <c r="X35" s="200">
        <v>10</v>
      </c>
      <c r="Y35" s="213">
        <v>15</v>
      </c>
      <c r="Z35" s="213">
        <v>15</v>
      </c>
      <c r="AA35" s="213">
        <v>10</v>
      </c>
      <c r="AB35" s="213">
        <v>5</v>
      </c>
      <c r="AC35" s="500"/>
      <c r="AI35" s="184"/>
    </row>
    <row r="36" spans="1:35" s="189" customFormat="1" ht="16.2" customHeight="1" x14ac:dyDescent="0.25">
      <c r="A36" s="292"/>
      <c r="B36" s="217" t="s">
        <v>267</v>
      </c>
      <c r="C36" s="217" t="s">
        <v>268</v>
      </c>
      <c r="D36" s="216">
        <v>650</v>
      </c>
      <c r="E36" s="216">
        <v>790</v>
      </c>
      <c r="F36" s="218">
        <v>755</v>
      </c>
      <c r="G36" s="216">
        <v>805</v>
      </c>
      <c r="H36" s="216">
        <v>805</v>
      </c>
      <c r="I36" s="216">
        <v>685</v>
      </c>
      <c r="J36" s="216">
        <v>690</v>
      </c>
      <c r="K36" s="216"/>
      <c r="L36" s="188"/>
      <c r="M36" s="216">
        <v>475</v>
      </c>
      <c r="N36" s="216">
        <v>560</v>
      </c>
      <c r="O36" s="218">
        <v>520</v>
      </c>
      <c r="P36" s="216">
        <v>580</v>
      </c>
      <c r="Q36" s="216">
        <v>605</v>
      </c>
      <c r="R36" s="216">
        <v>495</v>
      </c>
      <c r="S36" s="216">
        <v>555</v>
      </c>
      <c r="T36" s="500"/>
      <c r="U36" s="187"/>
      <c r="V36" s="216">
        <v>175</v>
      </c>
      <c r="W36" s="216">
        <v>225</v>
      </c>
      <c r="X36" s="200">
        <v>220</v>
      </c>
      <c r="Y36" s="213">
        <v>215</v>
      </c>
      <c r="Z36" s="213">
        <v>190</v>
      </c>
      <c r="AA36" s="213">
        <v>185</v>
      </c>
      <c r="AB36" s="213">
        <v>130</v>
      </c>
      <c r="AC36" s="500"/>
      <c r="AI36" s="184"/>
    </row>
    <row r="37" spans="1:35" s="189" customFormat="1" ht="16.2" customHeight="1" x14ac:dyDescent="0.25">
      <c r="B37" s="217" t="s">
        <v>269</v>
      </c>
      <c r="C37" s="217" t="s">
        <v>270</v>
      </c>
      <c r="D37" s="216" t="s">
        <v>75</v>
      </c>
      <c r="E37" s="216" t="s">
        <v>75</v>
      </c>
      <c r="F37" s="218" t="s">
        <v>75</v>
      </c>
      <c r="G37" s="216">
        <v>345</v>
      </c>
      <c r="H37" s="216">
        <v>365</v>
      </c>
      <c r="I37" s="216">
        <v>355</v>
      </c>
      <c r="J37" s="216">
        <v>350</v>
      </c>
      <c r="K37" s="216"/>
      <c r="L37" s="188"/>
      <c r="M37" s="216" t="s">
        <v>75</v>
      </c>
      <c r="N37" s="216" t="s">
        <v>75</v>
      </c>
      <c r="O37" s="218" t="s">
        <v>75</v>
      </c>
      <c r="P37" s="216">
        <v>325</v>
      </c>
      <c r="Q37" s="216">
        <v>325</v>
      </c>
      <c r="R37" s="216">
        <v>305</v>
      </c>
      <c r="S37" s="216">
        <v>300</v>
      </c>
      <c r="T37" s="500"/>
      <c r="U37" s="187"/>
      <c r="V37" s="216" t="s">
        <v>75</v>
      </c>
      <c r="W37" s="216" t="s">
        <v>75</v>
      </c>
      <c r="X37" s="218" t="s">
        <v>75</v>
      </c>
      <c r="Y37" s="216">
        <v>20</v>
      </c>
      <c r="Z37" s="216">
        <v>35</v>
      </c>
      <c r="AA37" s="213">
        <v>50</v>
      </c>
      <c r="AB37" s="213">
        <v>50</v>
      </c>
      <c r="AC37" s="500"/>
      <c r="AI37" s="184"/>
    </row>
    <row r="38" spans="1:35" s="189" customFormat="1" ht="16.2" customHeight="1" x14ac:dyDescent="0.25">
      <c r="B38" s="191" t="s">
        <v>227</v>
      </c>
      <c r="C38" s="217" t="s">
        <v>1004</v>
      </c>
      <c r="D38" s="216">
        <v>175</v>
      </c>
      <c r="E38" s="216">
        <v>180</v>
      </c>
      <c r="F38" s="218">
        <v>220</v>
      </c>
      <c r="G38" s="216">
        <v>210</v>
      </c>
      <c r="H38" s="216">
        <v>220</v>
      </c>
      <c r="I38" s="216">
        <v>195</v>
      </c>
      <c r="J38" s="216">
        <v>175</v>
      </c>
      <c r="K38" s="216"/>
      <c r="L38" s="216"/>
      <c r="M38" s="216">
        <v>95</v>
      </c>
      <c r="N38" s="216">
        <v>115</v>
      </c>
      <c r="O38" s="218">
        <v>145</v>
      </c>
      <c r="P38" s="216">
        <v>130</v>
      </c>
      <c r="Q38" s="216">
        <v>140</v>
      </c>
      <c r="R38" s="216">
        <v>105</v>
      </c>
      <c r="S38" s="216">
        <v>105</v>
      </c>
      <c r="T38" s="216"/>
      <c r="U38" s="295"/>
      <c r="V38" s="216">
        <v>80</v>
      </c>
      <c r="W38" s="216">
        <v>70</v>
      </c>
      <c r="X38" s="200">
        <v>65</v>
      </c>
      <c r="Y38" s="213">
        <v>65</v>
      </c>
      <c r="Z38" s="213">
        <v>65</v>
      </c>
      <c r="AA38" s="213">
        <v>80</v>
      </c>
      <c r="AB38" s="213">
        <v>65</v>
      </c>
      <c r="AC38" s="500"/>
      <c r="AI38" s="184"/>
    </row>
    <row r="39" spans="1:35" s="189" customFormat="1" ht="16.2" customHeight="1" x14ac:dyDescent="0.25">
      <c r="A39" s="292"/>
      <c r="B39" s="217" t="s">
        <v>273</v>
      </c>
      <c r="C39" s="217" t="s">
        <v>274</v>
      </c>
      <c r="D39" s="216">
        <v>475</v>
      </c>
      <c r="E39" s="216">
        <v>430</v>
      </c>
      <c r="F39" s="218">
        <v>530</v>
      </c>
      <c r="G39" s="216">
        <v>825</v>
      </c>
      <c r="H39" s="216">
        <v>855</v>
      </c>
      <c r="I39" s="216">
        <v>645</v>
      </c>
      <c r="J39" s="216">
        <v>600</v>
      </c>
      <c r="K39" s="216"/>
      <c r="L39" s="188"/>
      <c r="M39" s="216">
        <v>380</v>
      </c>
      <c r="N39" s="216">
        <v>350</v>
      </c>
      <c r="O39" s="218">
        <v>385</v>
      </c>
      <c r="P39" s="216">
        <v>560</v>
      </c>
      <c r="Q39" s="216">
        <v>535</v>
      </c>
      <c r="R39" s="216">
        <v>390</v>
      </c>
      <c r="S39" s="216">
        <v>405</v>
      </c>
      <c r="T39" s="500"/>
      <c r="U39" s="187"/>
      <c r="V39" s="216">
        <v>95</v>
      </c>
      <c r="W39" s="216">
        <v>75</v>
      </c>
      <c r="X39" s="200">
        <v>125</v>
      </c>
      <c r="Y39" s="213">
        <v>245</v>
      </c>
      <c r="Z39" s="213">
        <v>280</v>
      </c>
      <c r="AA39" s="213">
        <v>235</v>
      </c>
      <c r="AB39" s="213">
        <v>195</v>
      </c>
      <c r="AC39" s="500"/>
      <c r="AI39" s="184"/>
    </row>
    <row r="40" spans="1:35" s="189" customFormat="1" ht="16.2" customHeight="1" x14ac:dyDescent="0.25">
      <c r="A40" s="292"/>
      <c r="B40" s="217" t="s">
        <v>275</v>
      </c>
      <c r="C40" s="217" t="s">
        <v>276</v>
      </c>
      <c r="D40" s="216">
        <v>295</v>
      </c>
      <c r="E40" s="216">
        <v>300</v>
      </c>
      <c r="F40" s="218">
        <v>265</v>
      </c>
      <c r="G40" s="216">
        <v>280</v>
      </c>
      <c r="H40" s="216">
        <v>325</v>
      </c>
      <c r="I40" s="216">
        <v>345</v>
      </c>
      <c r="J40" s="216">
        <v>380</v>
      </c>
      <c r="K40" s="216"/>
      <c r="L40" s="188"/>
      <c r="M40" s="216">
        <v>225</v>
      </c>
      <c r="N40" s="216">
        <v>220</v>
      </c>
      <c r="O40" s="218">
        <v>200</v>
      </c>
      <c r="P40" s="216">
        <v>160</v>
      </c>
      <c r="Q40" s="216">
        <v>180</v>
      </c>
      <c r="R40" s="216">
        <v>230</v>
      </c>
      <c r="S40" s="216">
        <v>235</v>
      </c>
      <c r="T40" s="500"/>
      <c r="U40" s="187"/>
      <c r="V40" s="216">
        <v>70</v>
      </c>
      <c r="W40" s="216">
        <v>80</v>
      </c>
      <c r="X40" s="200">
        <v>65</v>
      </c>
      <c r="Y40" s="213">
        <v>75</v>
      </c>
      <c r="Z40" s="213">
        <v>95</v>
      </c>
      <c r="AA40" s="213">
        <v>115</v>
      </c>
      <c r="AB40" s="213">
        <v>140</v>
      </c>
      <c r="AC40" s="500"/>
      <c r="AI40" s="184"/>
    </row>
    <row r="41" spans="1:35" s="189" customFormat="1" ht="16.2" customHeight="1" x14ac:dyDescent="0.25">
      <c r="A41" s="292"/>
      <c r="B41" s="217" t="s">
        <v>277</v>
      </c>
      <c r="C41" s="217" t="s">
        <v>278</v>
      </c>
      <c r="D41" s="216">
        <v>195</v>
      </c>
      <c r="E41" s="216">
        <v>195</v>
      </c>
      <c r="F41" s="218">
        <v>215</v>
      </c>
      <c r="G41" s="216">
        <v>205</v>
      </c>
      <c r="H41" s="216">
        <v>175</v>
      </c>
      <c r="I41" s="216">
        <v>170</v>
      </c>
      <c r="J41" s="216">
        <v>190</v>
      </c>
      <c r="K41" s="216"/>
      <c r="L41" s="188"/>
      <c r="M41" s="216">
        <v>150</v>
      </c>
      <c r="N41" s="216">
        <v>155</v>
      </c>
      <c r="O41" s="218">
        <v>155</v>
      </c>
      <c r="P41" s="216">
        <v>145</v>
      </c>
      <c r="Q41" s="216">
        <v>115</v>
      </c>
      <c r="R41" s="216">
        <v>105</v>
      </c>
      <c r="S41" s="216">
        <v>120</v>
      </c>
      <c r="T41" s="500"/>
      <c r="U41" s="187"/>
      <c r="V41" s="216">
        <v>45</v>
      </c>
      <c r="W41" s="216">
        <v>40</v>
      </c>
      <c r="X41" s="200">
        <v>55</v>
      </c>
      <c r="Y41" s="213">
        <v>60</v>
      </c>
      <c r="Z41" s="213">
        <v>55</v>
      </c>
      <c r="AA41" s="213">
        <v>55</v>
      </c>
      <c r="AB41" s="213">
        <v>60</v>
      </c>
      <c r="AC41" s="500"/>
      <c r="AI41" s="184"/>
    </row>
    <row r="42" spans="1:35" s="189" customFormat="1" ht="16.2" customHeight="1" x14ac:dyDescent="0.25">
      <c r="B42" s="217" t="s">
        <v>279</v>
      </c>
      <c r="C42" s="217" t="s">
        <v>280</v>
      </c>
      <c r="D42" s="216">
        <v>35</v>
      </c>
      <c r="E42" s="216">
        <v>45</v>
      </c>
      <c r="F42" s="218" t="s">
        <v>75</v>
      </c>
      <c r="G42" s="216">
        <v>30</v>
      </c>
      <c r="H42" s="216">
        <v>35</v>
      </c>
      <c r="I42" s="216">
        <v>20</v>
      </c>
      <c r="J42" s="216">
        <v>30</v>
      </c>
      <c r="K42" s="216"/>
      <c r="L42" s="188"/>
      <c r="M42" s="216">
        <v>25</v>
      </c>
      <c r="N42" s="216">
        <v>30</v>
      </c>
      <c r="O42" s="218" t="s">
        <v>75</v>
      </c>
      <c r="P42" s="216">
        <v>20</v>
      </c>
      <c r="Q42" s="216">
        <v>25</v>
      </c>
      <c r="R42" s="216">
        <v>15</v>
      </c>
      <c r="S42" s="216">
        <v>20</v>
      </c>
      <c r="T42" s="500"/>
      <c r="U42" s="187"/>
      <c r="V42" s="216">
        <v>10</v>
      </c>
      <c r="W42" s="216">
        <v>10</v>
      </c>
      <c r="X42" s="200" t="s">
        <v>75</v>
      </c>
      <c r="Y42" s="213">
        <v>10</v>
      </c>
      <c r="Z42" s="213">
        <v>5</v>
      </c>
      <c r="AA42" s="213">
        <v>5</v>
      </c>
      <c r="AB42" s="213">
        <v>5</v>
      </c>
      <c r="AC42" s="500"/>
      <c r="AI42" s="184"/>
    </row>
    <row r="43" spans="1:35" s="189" customFormat="1" ht="16.2" customHeight="1" x14ac:dyDescent="0.25">
      <c r="A43" s="292"/>
      <c r="B43" s="217" t="s">
        <v>281</v>
      </c>
      <c r="C43" s="217" t="s">
        <v>282</v>
      </c>
      <c r="D43" s="216">
        <v>370</v>
      </c>
      <c r="E43" s="216">
        <v>365</v>
      </c>
      <c r="F43" s="200">
        <v>410</v>
      </c>
      <c r="G43" s="213">
        <v>370</v>
      </c>
      <c r="H43" s="213">
        <v>380</v>
      </c>
      <c r="I43" s="216">
        <v>385</v>
      </c>
      <c r="J43" s="216">
        <v>440</v>
      </c>
      <c r="K43" s="216"/>
      <c r="L43" s="188"/>
      <c r="M43" s="216">
        <v>270</v>
      </c>
      <c r="N43" s="216">
        <v>275</v>
      </c>
      <c r="O43" s="218">
        <v>275</v>
      </c>
      <c r="P43" s="216">
        <v>250</v>
      </c>
      <c r="Q43" s="216">
        <v>270</v>
      </c>
      <c r="R43" s="216">
        <v>270</v>
      </c>
      <c r="S43" s="216">
        <v>270</v>
      </c>
      <c r="T43" s="500"/>
      <c r="U43" s="187"/>
      <c r="V43" s="216">
        <v>100</v>
      </c>
      <c r="W43" s="216">
        <v>90</v>
      </c>
      <c r="X43" s="200">
        <v>115</v>
      </c>
      <c r="Y43" s="213">
        <v>105</v>
      </c>
      <c r="Z43" s="213">
        <v>100</v>
      </c>
      <c r="AA43" s="213">
        <v>105</v>
      </c>
      <c r="AB43" s="213">
        <v>145</v>
      </c>
      <c r="AC43" s="500"/>
      <c r="AI43" s="184"/>
    </row>
    <row r="44" spans="1:35" s="189" customFormat="1" ht="16.2" customHeight="1" x14ac:dyDescent="0.25">
      <c r="A44" s="292"/>
      <c r="B44" s="217" t="s">
        <v>283</v>
      </c>
      <c r="C44" s="217" t="s">
        <v>284</v>
      </c>
      <c r="D44" s="216">
        <v>475</v>
      </c>
      <c r="E44" s="216">
        <v>500</v>
      </c>
      <c r="F44" s="218">
        <v>520</v>
      </c>
      <c r="G44" s="216">
        <v>485</v>
      </c>
      <c r="H44" s="216">
        <v>465</v>
      </c>
      <c r="I44" s="216">
        <v>405</v>
      </c>
      <c r="J44" s="216">
        <v>160</v>
      </c>
      <c r="K44" s="216"/>
      <c r="L44" s="188"/>
      <c r="M44" s="216">
        <v>335</v>
      </c>
      <c r="N44" s="216">
        <v>340</v>
      </c>
      <c r="O44" s="218" t="s">
        <v>230</v>
      </c>
      <c r="P44" s="216" t="s">
        <v>230</v>
      </c>
      <c r="Q44" s="216" t="s">
        <v>230</v>
      </c>
      <c r="R44" s="216" t="s">
        <v>75</v>
      </c>
      <c r="S44" s="216">
        <v>20</v>
      </c>
      <c r="T44" s="500"/>
      <c r="U44" s="187"/>
      <c r="V44" s="216">
        <v>140</v>
      </c>
      <c r="W44" s="216">
        <v>160</v>
      </c>
      <c r="X44" s="200">
        <v>500</v>
      </c>
      <c r="Y44" s="213">
        <v>460</v>
      </c>
      <c r="Z44" s="213">
        <v>440</v>
      </c>
      <c r="AA44" s="213">
        <v>390</v>
      </c>
      <c r="AB44" s="213">
        <v>130</v>
      </c>
      <c r="AC44" s="500"/>
      <c r="AI44" s="184"/>
    </row>
    <row r="45" spans="1:35" s="189" customFormat="1" ht="16.2" customHeight="1" x14ac:dyDescent="0.25">
      <c r="A45" s="292"/>
      <c r="B45" s="217" t="s">
        <v>285</v>
      </c>
      <c r="C45" s="217" t="s">
        <v>286</v>
      </c>
      <c r="D45" s="216">
        <v>455</v>
      </c>
      <c r="E45" s="216">
        <v>405</v>
      </c>
      <c r="F45" s="218">
        <v>340</v>
      </c>
      <c r="G45" s="216">
        <v>370</v>
      </c>
      <c r="H45" s="216">
        <v>360</v>
      </c>
      <c r="I45" s="216">
        <v>340</v>
      </c>
      <c r="J45" s="216">
        <v>370</v>
      </c>
      <c r="K45" s="216"/>
      <c r="L45" s="188"/>
      <c r="M45" s="216">
        <v>290</v>
      </c>
      <c r="N45" s="216">
        <v>255</v>
      </c>
      <c r="O45" s="218">
        <v>240</v>
      </c>
      <c r="P45" s="216">
        <v>250</v>
      </c>
      <c r="Q45" s="216">
        <v>250</v>
      </c>
      <c r="R45" s="216">
        <v>235</v>
      </c>
      <c r="S45" s="216">
        <v>245</v>
      </c>
      <c r="T45" s="500"/>
      <c r="U45" s="187"/>
      <c r="V45" s="216">
        <v>160</v>
      </c>
      <c r="W45" s="216">
        <v>150</v>
      </c>
      <c r="X45" s="200">
        <v>95</v>
      </c>
      <c r="Y45" s="213">
        <v>110</v>
      </c>
      <c r="Z45" s="213">
        <v>105</v>
      </c>
      <c r="AA45" s="213">
        <v>105</v>
      </c>
      <c r="AB45" s="213">
        <v>125</v>
      </c>
      <c r="AC45" s="500"/>
      <c r="AI45" s="184"/>
    </row>
    <row r="46" spans="1:35" s="189" customFormat="1" ht="16.2" customHeight="1" x14ac:dyDescent="0.25">
      <c r="A46" s="292"/>
      <c r="B46" s="217" t="s">
        <v>287</v>
      </c>
      <c r="C46" s="217" t="s">
        <v>288</v>
      </c>
      <c r="D46" s="216" t="s">
        <v>230</v>
      </c>
      <c r="E46" s="216">
        <v>5</v>
      </c>
      <c r="F46" s="200" t="s">
        <v>230</v>
      </c>
      <c r="G46" s="213" t="s">
        <v>230</v>
      </c>
      <c r="H46" s="213" t="s">
        <v>230</v>
      </c>
      <c r="I46" s="216">
        <v>5</v>
      </c>
      <c r="J46" s="216">
        <v>5</v>
      </c>
      <c r="K46" s="216"/>
      <c r="L46" s="188"/>
      <c r="M46" s="216" t="s">
        <v>230</v>
      </c>
      <c r="N46" s="216">
        <v>5</v>
      </c>
      <c r="O46" s="190" t="s">
        <v>230</v>
      </c>
      <c r="P46" s="188" t="s">
        <v>230</v>
      </c>
      <c r="Q46" s="188" t="s">
        <v>230</v>
      </c>
      <c r="R46" s="216">
        <v>5</v>
      </c>
      <c r="S46" s="216">
        <v>5</v>
      </c>
      <c r="T46" s="500"/>
      <c r="U46" s="187"/>
      <c r="V46" s="216" t="s">
        <v>230</v>
      </c>
      <c r="W46" s="216" t="s">
        <v>230</v>
      </c>
      <c r="X46" s="200" t="s">
        <v>230</v>
      </c>
      <c r="Y46" s="213" t="s">
        <v>230</v>
      </c>
      <c r="Z46" s="213" t="s">
        <v>230</v>
      </c>
      <c r="AA46" s="213" t="s">
        <v>75</v>
      </c>
      <c r="AB46" s="213" t="s">
        <v>75</v>
      </c>
      <c r="AC46" s="500"/>
      <c r="AI46" s="184"/>
    </row>
    <row r="47" spans="1:35" s="189" customFormat="1" ht="16.2" customHeight="1" x14ac:dyDescent="0.25">
      <c r="B47" s="217" t="s">
        <v>289</v>
      </c>
      <c r="C47" s="217" t="s">
        <v>290</v>
      </c>
      <c r="D47" s="216">
        <v>285</v>
      </c>
      <c r="E47" s="216">
        <v>270</v>
      </c>
      <c r="F47" s="218" t="s">
        <v>75</v>
      </c>
      <c r="G47" s="216" t="s">
        <v>75</v>
      </c>
      <c r="H47" s="216">
        <v>280</v>
      </c>
      <c r="I47" s="216">
        <v>230</v>
      </c>
      <c r="J47" s="216">
        <v>225</v>
      </c>
      <c r="K47" s="216"/>
      <c r="L47" s="188"/>
      <c r="M47" s="216">
        <v>200</v>
      </c>
      <c r="N47" s="216">
        <v>190</v>
      </c>
      <c r="O47" s="218" t="s">
        <v>75</v>
      </c>
      <c r="P47" s="216" t="s">
        <v>75</v>
      </c>
      <c r="Q47" s="216">
        <v>180</v>
      </c>
      <c r="R47" s="216">
        <v>170</v>
      </c>
      <c r="S47" s="216">
        <v>170</v>
      </c>
      <c r="T47" s="500"/>
      <c r="U47" s="187"/>
      <c r="V47" s="216">
        <v>80</v>
      </c>
      <c r="W47" s="216">
        <v>80</v>
      </c>
      <c r="X47" s="200" t="s">
        <v>75</v>
      </c>
      <c r="Y47" s="213" t="s">
        <v>75</v>
      </c>
      <c r="Z47" s="213">
        <v>100</v>
      </c>
      <c r="AA47" s="213">
        <v>60</v>
      </c>
      <c r="AB47" s="213">
        <v>55</v>
      </c>
      <c r="AC47" s="500"/>
      <c r="AI47" s="184"/>
    </row>
    <row r="48" spans="1:35" s="189" customFormat="1" ht="16.2" customHeight="1" x14ac:dyDescent="0.25">
      <c r="A48" s="292"/>
      <c r="B48" s="217" t="s">
        <v>291</v>
      </c>
      <c r="C48" s="217" t="s">
        <v>292</v>
      </c>
      <c r="D48" s="216">
        <v>175</v>
      </c>
      <c r="E48" s="216">
        <v>130</v>
      </c>
      <c r="F48" s="218">
        <v>130</v>
      </c>
      <c r="G48" s="216">
        <v>145</v>
      </c>
      <c r="H48" s="216">
        <v>110</v>
      </c>
      <c r="I48" s="216">
        <v>110</v>
      </c>
      <c r="J48" s="216">
        <v>100</v>
      </c>
      <c r="K48" s="216"/>
      <c r="L48" s="188"/>
      <c r="M48" s="216">
        <v>140</v>
      </c>
      <c r="N48" s="216">
        <v>95</v>
      </c>
      <c r="O48" s="218">
        <v>85</v>
      </c>
      <c r="P48" s="216">
        <v>100</v>
      </c>
      <c r="Q48" s="216">
        <v>105</v>
      </c>
      <c r="R48" s="216">
        <v>110</v>
      </c>
      <c r="S48" s="216">
        <v>100</v>
      </c>
      <c r="T48" s="500"/>
      <c r="U48" s="187"/>
      <c r="V48" s="216">
        <v>35</v>
      </c>
      <c r="W48" s="216">
        <v>35</v>
      </c>
      <c r="X48" s="200">
        <v>40</v>
      </c>
      <c r="Y48" s="213">
        <v>40</v>
      </c>
      <c r="Z48" s="213" t="s">
        <v>230</v>
      </c>
      <c r="AA48" s="213" t="s">
        <v>75</v>
      </c>
      <c r="AB48" s="213" t="s">
        <v>75</v>
      </c>
      <c r="AC48" s="500"/>
      <c r="AI48" s="184"/>
    </row>
    <row r="49" spans="1:35" s="189" customFormat="1" ht="16.2" customHeight="1" x14ac:dyDescent="0.25">
      <c r="A49" s="292"/>
      <c r="B49" s="217" t="s">
        <v>1002</v>
      </c>
      <c r="C49" s="217" t="s">
        <v>1003</v>
      </c>
      <c r="D49" s="216" t="s">
        <v>75</v>
      </c>
      <c r="E49" s="216" t="s">
        <v>75</v>
      </c>
      <c r="F49" s="218" t="s">
        <v>75</v>
      </c>
      <c r="G49" s="216" t="s">
        <v>75</v>
      </c>
      <c r="H49" s="216" t="s">
        <v>75</v>
      </c>
      <c r="I49" s="216" t="s">
        <v>75</v>
      </c>
      <c r="J49" s="216" t="s">
        <v>75</v>
      </c>
      <c r="K49" s="216"/>
      <c r="L49" s="216"/>
      <c r="M49" s="216" t="s">
        <v>75</v>
      </c>
      <c r="N49" s="216" t="s">
        <v>75</v>
      </c>
      <c r="O49" s="218" t="s">
        <v>75</v>
      </c>
      <c r="P49" s="216" t="s">
        <v>75</v>
      </c>
      <c r="Q49" s="216" t="s">
        <v>75</v>
      </c>
      <c r="R49" s="216" t="s">
        <v>75</v>
      </c>
      <c r="S49" s="216" t="s">
        <v>75</v>
      </c>
      <c r="T49" s="216"/>
      <c r="U49" s="295"/>
      <c r="V49" s="216" t="s">
        <v>75</v>
      </c>
      <c r="W49" s="216" t="s">
        <v>75</v>
      </c>
      <c r="X49" s="218" t="s">
        <v>75</v>
      </c>
      <c r="Y49" s="216" t="s">
        <v>75</v>
      </c>
      <c r="Z49" s="216" t="s">
        <v>75</v>
      </c>
      <c r="AA49" s="213" t="s">
        <v>75</v>
      </c>
      <c r="AB49" s="213" t="s">
        <v>75</v>
      </c>
      <c r="AC49" s="500"/>
      <c r="AI49" s="184"/>
    </row>
    <row r="50" spans="1:35" s="189" customFormat="1" ht="16.2" customHeight="1" x14ac:dyDescent="0.25">
      <c r="A50" s="292"/>
      <c r="B50" s="217" t="s">
        <v>293</v>
      </c>
      <c r="C50" s="217" t="s">
        <v>294</v>
      </c>
      <c r="D50" s="216">
        <v>580</v>
      </c>
      <c r="E50" s="216">
        <v>595</v>
      </c>
      <c r="F50" s="218">
        <v>600</v>
      </c>
      <c r="G50" s="216">
        <v>465</v>
      </c>
      <c r="H50" s="216">
        <v>560</v>
      </c>
      <c r="I50" s="216">
        <v>540</v>
      </c>
      <c r="J50" s="216">
        <v>750</v>
      </c>
      <c r="K50" s="216"/>
      <c r="L50" s="188"/>
      <c r="M50" s="216">
        <v>420</v>
      </c>
      <c r="N50" s="216">
        <v>440</v>
      </c>
      <c r="O50" s="218">
        <v>600</v>
      </c>
      <c r="P50" s="216">
        <v>465</v>
      </c>
      <c r="Q50" s="216">
        <v>560</v>
      </c>
      <c r="R50" s="216">
        <v>540</v>
      </c>
      <c r="S50" s="216">
        <v>550</v>
      </c>
      <c r="T50" s="500"/>
      <c r="U50" s="187"/>
      <c r="V50" s="216">
        <v>160</v>
      </c>
      <c r="W50" s="216">
        <v>160</v>
      </c>
      <c r="X50" s="200" t="s">
        <v>230</v>
      </c>
      <c r="Y50" s="213" t="s">
        <v>230</v>
      </c>
      <c r="Z50" s="213" t="s">
        <v>230</v>
      </c>
      <c r="AA50" s="213" t="s">
        <v>75</v>
      </c>
      <c r="AB50" s="213">
        <v>165</v>
      </c>
      <c r="AC50" s="500"/>
      <c r="AI50" s="184"/>
    </row>
    <row r="51" spans="1:35" s="189" customFormat="1" ht="16.2" customHeight="1" x14ac:dyDescent="0.25">
      <c r="A51" s="292"/>
      <c r="B51" s="217" t="s">
        <v>295</v>
      </c>
      <c r="C51" s="217" t="s">
        <v>296</v>
      </c>
      <c r="D51" s="216">
        <v>345</v>
      </c>
      <c r="E51" s="216">
        <v>335</v>
      </c>
      <c r="F51" s="218">
        <v>380</v>
      </c>
      <c r="G51" s="216">
        <v>370</v>
      </c>
      <c r="H51" s="216">
        <v>370</v>
      </c>
      <c r="I51" s="216">
        <v>345</v>
      </c>
      <c r="J51" s="216">
        <v>375</v>
      </c>
      <c r="K51" s="216"/>
      <c r="L51" s="188"/>
      <c r="M51" s="216">
        <v>220</v>
      </c>
      <c r="N51" s="216">
        <v>220</v>
      </c>
      <c r="O51" s="218">
        <v>230</v>
      </c>
      <c r="P51" s="216">
        <v>240</v>
      </c>
      <c r="Q51" s="216">
        <v>255</v>
      </c>
      <c r="R51" s="216">
        <v>215</v>
      </c>
      <c r="S51" s="216">
        <v>270</v>
      </c>
      <c r="T51" s="500"/>
      <c r="U51" s="187"/>
      <c r="V51" s="216">
        <v>120</v>
      </c>
      <c r="W51" s="216">
        <v>115</v>
      </c>
      <c r="X51" s="200">
        <v>150</v>
      </c>
      <c r="Y51" s="213">
        <v>125</v>
      </c>
      <c r="Z51" s="213">
        <v>115</v>
      </c>
      <c r="AA51" s="213">
        <v>130</v>
      </c>
      <c r="AB51" s="213">
        <v>100</v>
      </c>
      <c r="AC51" s="500"/>
      <c r="AI51" s="184"/>
    </row>
    <row r="52" spans="1:35" s="189" customFormat="1" ht="16.2" customHeight="1" x14ac:dyDescent="0.25">
      <c r="A52" s="292"/>
      <c r="B52" s="217" t="s">
        <v>297</v>
      </c>
      <c r="C52" s="217" t="s">
        <v>298</v>
      </c>
      <c r="D52" s="216">
        <v>265</v>
      </c>
      <c r="E52" s="216">
        <v>265</v>
      </c>
      <c r="F52" s="218">
        <v>320</v>
      </c>
      <c r="G52" s="216">
        <v>305</v>
      </c>
      <c r="H52" s="216">
        <v>310</v>
      </c>
      <c r="I52" s="216">
        <v>305</v>
      </c>
      <c r="J52" s="216">
        <v>295</v>
      </c>
      <c r="K52" s="216"/>
      <c r="L52" s="188"/>
      <c r="M52" s="216">
        <v>125</v>
      </c>
      <c r="N52" s="216">
        <v>135</v>
      </c>
      <c r="O52" s="218">
        <v>35</v>
      </c>
      <c r="P52" s="216">
        <v>30</v>
      </c>
      <c r="Q52" s="216">
        <v>55</v>
      </c>
      <c r="R52" s="216">
        <v>35</v>
      </c>
      <c r="S52" s="216">
        <v>20</v>
      </c>
      <c r="T52" s="500"/>
      <c r="U52" s="187"/>
      <c r="V52" s="216">
        <v>140</v>
      </c>
      <c r="W52" s="216">
        <v>130</v>
      </c>
      <c r="X52" s="200">
        <v>280</v>
      </c>
      <c r="Y52" s="213">
        <v>270</v>
      </c>
      <c r="Z52" s="213">
        <v>250</v>
      </c>
      <c r="AA52" s="213">
        <v>270</v>
      </c>
      <c r="AB52" s="213">
        <v>270</v>
      </c>
      <c r="AC52" s="500"/>
      <c r="AI52" s="184"/>
    </row>
    <row r="53" spans="1:35" s="189" customFormat="1" ht="16.2" customHeight="1" x14ac:dyDescent="0.25">
      <c r="A53" s="292"/>
      <c r="B53" s="217" t="s">
        <v>301</v>
      </c>
      <c r="C53" s="217" t="s">
        <v>302</v>
      </c>
      <c r="D53" s="216">
        <v>155</v>
      </c>
      <c r="E53" s="216">
        <v>155</v>
      </c>
      <c r="F53" s="218">
        <v>115</v>
      </c>
      <c r="G53" s="216">
        <v>110</v>
      </c>
      <c r="H53" s="216">
        <v>130</v>
      </c>
      <c r="I53" s="216">
        <v>35</v>
      </c>
      <c r="J53" s="216">
        <v>95</v>
      </c>
      <c r="K53" s="216"/>
      <c r="L53" s="188"/>
      <c r="M53" s="216">
        <v>115</v>
      </c>
      <c r="N53" s="216">
        <v>115</v>
      </c>
      <c r="O53" s="218">
        <v>85</v>
      </c>
      <c r="P53" s="216">
        <v>65</v>
      </c>
      <c r="Q53" s="216">
        <v>80</v>
      </c>
      <c r="R53" s="216" t="s">
        <v>75</v>
      </c>
      <c r="S53" s="216">
        <v>70</v>
      </c>
      <c r="T53" s="500"/>
      <c r="U53" s="187"/>
      <c r="V53" s="216">
        <v>45</v>
      </c>
      <c r="W53" s="216">
        <v>40</v>
      </c>
      <c r="X53" s="200">
        <v>25</v>
      </c>
      <c r="Y53" s="213">
        <v>35</v>
      </c>
      <c r="Z53" s="213">
        <v>40</v>
      </c>
      <c r="AA53" s="213">
        <v>30</v>
      </c>
      <c r="AB53" s="213">
        <v>25</v>
      </c>
      <c r="AC53" s="500"/>
      <c r="AI53" s="184"/>
    </row>
    <row r="54" spans="1:35" s="189" customFormat="1" ht="16.2" customHeight="1" x14ac:dyDescent="0.25">
      <c r="A54" s="292"/>
      <c r="B54" s="217" t="s">
        <v>303</v>
      </c>
      <c r="C54" s="217" t="s">
        <v>304</v>
      </c>
      <c r="D54" s="216">
        <v>245</v>
      </c>
      <c r="E54" s="216">
        <v>215</v>
      </c>
      <c r="F54" s="218">
        <v>25</v>
      </c>
      <c r="G54" s="216">
        <v>185</v>
      </c>
      <c r="H54" s="216">
        <v>180</v>
      </c>
      <c r="I54" s="216">
        <v>255</v>
      </c>
      <c r="J54" s="216">
        <v>240</v>
      </c>
      <c r="K54" s="216"/>
      <c r="L54" s="188"/>
      <c r="M54" s="216">
        <v>185</v>
      </c>
      <c r="N54" s="216">
        <v>185</v>
      </c>
      <c r="O54" s="218">
        <v>10</v>
      </c>
      <c r="P54" s="216">
        <v>180</v>
      </c>
      <c r="Q54" s="216">
        <v>175</v>
      </c>
      <c r="R54" s="216">
        <v>165</v>
      </c>
      <c r="S54" s="216">
        <v>165</v>
      </c>
      <c r="T54" s="500"/>
      <c r="U54" s="187"/>
      <c r="V54" s="216">
        <v>60</v>
      </c>
      <c r="W54" s="216">
        <v>30</v>
      </c>
      <c r="X54" s="200" t="s">
        <v>230</v>
      </c>
      <c r="Y54" s="213" t="s">
        <v>230</v>
      </c>
      <c r="Z54" s="213" t="s">
        <v>230</v>
      </c>
      <c r="AA54" s="213">
        <v>85</v>
      </c>
      <c r="AB54" s="213">
        <v>70</v>
      </c>
      <c r="AC54" s="500"/>
      <c r="AI54" s="184"/>
    </row>
    <row r="55" spans="1:35" s="189" customFormat="1" ht="16.2" customHeight="1" x14ac:dyDescent="0.25">
      <c r="A55" s="292"/>
      <c r="B55" s="217" t="s">
        <v>305</v>
      </c>
      <c r="C55" s="217" t="s">
        <v>306</v>
      </c>
      <c r="D55" s="216">
        <v>125</v>
      </c>
      <c r="E55" s="216">
        <v>110</v>
      </c>
      <c r="F55" s="218">
        <v>30</v>
      </c>
      <c r="G55" s="216">
        <v>45</v>
      </c>
      <c r="H55" s="216">
        <v>120</v>
      </c>
      <c r="I55" s="216">
        <v>130</v>
      </c>
      <c r="J55" s="216">
        <v>140</v>
      </c>
      <c r="K55" s="216"/>
      <c r="L55" s="188"/>
      <c r="M55" s="216">
        <v>90</v>
      </c>
      <c r="N55" s="216">
        <v>75</v>
      </c>
      <c r="O55" s="218">
        <v>30</v>
      </c>
      <c r="P55" s="216">
        <v>40</v>
      </c>
      <c r="Q55" s="216">
        <v>70</v>
      </c>
      <c r="R55" s="216">
        <v>80</v>
      </c>
      <c r="S55" s="216">
        <v>85</v>
      </c>
      <c r="T55" s="500"/>
      <c r="U55" s="187"/>
      <c r="V55" s="216">
        <v>35</v>
      </c>
      <c r="W55" s="216">
        <v>35</v>
      </c>
      <c r="X55" s="200" t="s">
        <v>230</v>
      </c>
      <c r="Y55" s="213" t="s">
        <v>230</v>
      </c>
      <c r="Z55" s="213">
        <v>45</v>
      </c>
      <c r="AA55" s="213">
        <v>40</v>
      </c>
      <c r="AB55" s="213">
        <v>40</v>
      </c>
      <c r="AC55" s="500"/>
      <c r="AI55" s="184"/>
    </row>
    <row r="56" spans="1:35" s="189" customFormat="1" ht="16.2" customHeight="1" x14ac:dyDescent="0.25">
      <c r="A56" s="292"/>
      <c r="B56" s="217" t="s">
        <v>307</v>
      </c>
      <c r="C56" s="217" t="s">
        <v>308</v>
      </c>
      <c r="D56" s="216">
        <v>775</v>
      </c>
      <c r="E56" s="216">
        <v>750</v>
      </c>
      <c r="F56" s="218">
        <v>695</v>
      </c>
      <c r="G56" s="216">
        <v>705</v>
      </c>
      <c r="H56" s="216">
        <v>650</v>
      </c>
      <c r="I56" s="216">
        <v>745</v>
      </c>
      <c r="J56" s="216">
        <v>695</v>
      </c>
      <c r="K56" s="216"/>
      <c r="L56" s="188"/>
      <c r="M56" s="216">
        <v>565</v>
      </c>
      <c r="N56" s="216">
        <v>510</v>
      </c>
      <c r="O56" s="218">
        <v>470</v>
      </c>
      <c r="P56" s="216">
        <v>510</v>
      </c>
      <c r="Q56" s="216">
        <v>470</v>
      </c>
      <c r="R56" s="216">
        <v>520</v>
      </c>
      <c r="S56" s="216">
        <v>530</v>
      </c>
      <c r="T56" s="500"/>
      <c r="U56" s="187"/>
      <c r="V56" s="216">
        <v>210</v>
      </c>
      <c r="W56" s="216">
        <v>245</v>
      </c>
      <c r="X56" s="200">
        <v>215</v>
      </c>
      <c r="Y56" s="213">
        <v>185</v>
      </c>
      <c r="Z56" s="213">
        <v>175</v>
      </c>
      <c r="AA56" s="213">
        <v>220</v>
      </c>
      <c r="AB56" s="213">
        <v>160</v>
      </c>
      <c r="AC56" s="500"/>
      <c r="AI56" s="184"/>
    </row>
    <row r="57" spans="1:35" s="189" customFormat="1" ht="16.2" customHeight="1" x14ac:dyDescent="0.25">
      <c r="B57" s="217" t="s">
        <v>309</v>
      </c>
      <c r="C57" s="217" t="s">
        <v>310</v>
      </c>
      <c r="D57" s="216">
        <v>25</v>
      </c>
      <c r="E57" s="216">
        <v>25</v>
      </c>
      <c r="F57" s="218" t="s">
        <v>75</v>
      </c>
      <c r="G57" s="216">
        <v>15</v>
      </c>
      <c r="H57" s="216">
        <v>15</v>
      </c>
      <c r="I57" s="216">
        <v>10</v>
      </c>
      <c r="J57" s="216" t="s">
        <v>230</v>
      </c>
      <c r="K57" s="216"/>
      <c r="L57" s="188"/>
      <c r="M57" s="216">
        <v>20</v>
      </c>
      <c r="N57" s="216">
        <v>25</v>
      </c>
      <c r="O57" s="218" t="s">
        <v>75</v>
      </c>
      <c r="P57" s="216">
        <v>15</v>
      </c>
      <c r="Q57" s="216">
        <v>15</v>
      </c>
      <c r="R57" s="216">
        <v>10</v>
      </c>
      <c r="S57" s="216" t="s">
        <v>230</v>
      </c>
      <c r="T57" s="500"/>
      <c r="U57" s="187"/>
      <c r="V57" s="216" t="s">
        <v>230</v>
      </c>
      <c r="W57" s="216" t="s">
        <v>230</v>
      </c>
      <c r="X57" s="200" t="s">
        <v>75</v>
      </c>
      <c r="Y57" s="213" t="s">
        <v>230</v>
      </c>
      <c r="Z57" s="213" t="s">
        <v>230</v>
      </c>
      <c r="AA57" s="213" t="s">
        <v>75</v>
      </c>
      <c r="AB57" s="213" t="s">
        <v>75</v>
      </c>
      <c r="AC57" s="500"/>
      <c r="AI57" s="184"/>
    </row>
    <row r="58" spans="1:35" s="189" customFormat="1" ht="16.2" customHeight="1" x14ac:dyDescent="0.25">
      <c r="A58" s="292"/>
      <c r="B58" s="217" t="s">
        <v>311</v>
      </c>
      <c r="C58" s="217" t="s">
        <v>312</v>
      </c>
      <c r="D58" s="216">
        <v>855</v>
      </c>
      <c r="E58" s="216">
        <v>855</v>
      </c>
      <c r="F58" s="218">
        <v>805</v>
      </c>
      <c r="G58" s="216">
        <v>765</v>
      </c>
      <c r="H58" s="216">
        <v>755</v>
      </c>
      <c r="I58" s="216">
        <v>635</v>
      </c>
      <c r="J58" s="216">
        <v>670</v>
      </c>
      <c r="K58" s="216"/>
      <c r="L58" s="188"/>
      <c r="M58" s="216">
        <v>725</v>
      </c>
      <c r="N58" s="216">
        <v>725</v>
      </c>
      <c r="O58" s="218">
        <v>695</v>
      </c>
      <c r="P58" s="216">
        <v>690</v>
      </c>
      <c r="Q58" s="216">
        <v>675</v>
      </c>
      <c r="R58" s="216">
        <v>510</v>
      </c>
      <c r="S58" s="216">
        <v>525</v>
      </c>
      <c r="T58" s="500"/>
      <c r="U58" s="187"/>
      <c r="V58" s="216">
        <v>130</v>
      </c>
      <c r="W58" s="216">
        <v>135</v>
      </c>
      <c r="X58" s="200">
        <v>105</v>
      </c>
      <c r="Y58" s="213">
        <v>75</v>
      </c>
      <c r="Z58" s="213">
        <v>75</v>
      </c>
      <c r="AA58" s="213">
        <v>125</v>
      </c>
      <c r="AB58" s="213">
        <v>145</v>
      </c>
      <c r="AC58" s="500"/>
      <c r="AI58" s="184"/>
    </row>
    <row r="59" spans="1:35" s="189" customFormat="1" ht="16.2" customHeight="1" x14ac:dyDescent="0.25">
      <c r="A59" s="292"/>
      <c r="B59" s="217" t="s">
        <v>313</v>
      </c>
      <c r="C59" s="217" t="s">
        <v>314</v>
      </c>
      <c r="D59" s="216">
        <v>425</v>
      </c>
      <c r="E59" s="216">
        <v>440</v>
      </c>
      <c r="F59" s="218">
        <v>430</v>
      </c>
      <c r="G59" s="216">
        <v>435</v>
      </c>
      <c r="H59" s="216">
        <v>455</v>
      </c>
      <c r="I59" s="216">
        <v>435</v>
      </c>
      <c r="J59" s="216">
        <v>410</v>
      </c>
      <c r="K59" s="216"/>
      <c r="L59" s="188"/>
      <c r="M59" s="216">
        <v>365</v>
      </c>
      <c r="N59" s="216">
        <v>375</v>
      </c>
      <c r="O59" s="218">
        <v>330</v>
      </c>
      <c r="P59" s="216">
        <v>335</v>
      </c>
      <c r="Q59" s="216">
        <v>355</v>
      </c>
      <c r="R59" s="216">
        <v>320</v>
      </c>
      <c r="S59" s="216">
        <v>325</v>
      </c>
      <c r="T59" s="500"/>
      <c r="U59" s="187"/>
      <c r="V59" s="216">
        <v>60</v>
      </c>
      <c r="W59" s="216">
        <v>65</v>
      </c>
      <c r="X59" s="200">
        <v>100</v>
      </c>
      <c r="Y59" s="213">
        <v>100</v>
      </c>
      <c r="Z59" s="213">
        <v>100</v>
      </c>
      <c r="AA59" s="213">
        <v>115</v>
      </c>
      <c r="AB59" s="213">
        <v>85</v>
      </c>
      <c r="AC59" s="500"/>
      <c r="AI59" s="184"/>
    </row>
    <row r="60" spans="1:35" s="189" customFormat="1" ht="16.2" customHeight="1" x14ac:dyDescent="0.25">
      <c r="A60" s="292"/>
      <c r="B60" s="217" t="s">
        <v>315</v>
      </c>
      <c r="C60" s="217" t="s">
        <v>316</v>
      </c>
      <c r="D60" s="216">
        <v>360</v>
      </c>
      <c r="E60" s="216">
        <v>345</v>
      </c>
      <c r="F60" s="218">
        <v>245</v>
      </c>
      <c r="G60" s="216">
        <v>285</v>
      </c>
      <c r="H60" s="216">
        <v>300</v>
      </c>
      <c r="I60" s="216">
        <v>210</v>
      </c>
      <c r="J60" s="216">
        <v>290</v>
      </c>
      <c r="K60" s="216"/>
      <c r="L60" s="188"/>
      <c r="M60" s="216">
        <v>250</v>
      </c>
      <c r="N60" s="216">
        <v>265</v>
      </c>
      <c r="O60" s="218">
        <v>170</v>
      </c>
      <c r="P60" s="216">
        <v>220</v>
      </c>
      <c r="Q60" s="216">
        <v>220</v>
      </c>
      <c r="R60" s="216">
        <v>205</v>
      </c>
      <c r="S60" s="216">
        <v>205</v>
      </c>
      <c r="T60" s="500"/>
      <c r="U60" s="187"/>
      <c r="V60" s="216">
        <v>110</v>
      </c>
      <c r="W60" s="216">
        <v>75</v>
      </c>
      <c r="X60" s="200">
        <v>70</v>
      </c>
      <c r="Y60" s="213">
        <v>60</v>
      </c>
      <c r="Z60" s="213">
        <v>75</v>
      </c>
      <c r="AA60" s="213" t="s">
        <v>75</v>
      </c>
      <c r="AB60" s="213">
        <v>80</v>
      </c>
      <c r="AC60" s="500"/>
      <c r="AI60" s="184"/>
    </row>
    <row r="61" spans="1:35" s="189" customFormat="1" ht="16.2" customHeight="1" x14ac:dyDescent="0.25">
      <c r="A61" s="292"/>
      <c r="B61" s="217" t="s">
        <v>317</v>
      </c>
      <c r="C61" s="217" t="s">
        <v>318</v>
      </c>
      <c r="D61" s="216">
        <v>495</v>
      </c>
      <c r="E61" s="216">
        <v>520</v>
      </c>
      <c r="F61" s="218">
        <v>450</v>
      </c>
      <c r="G61" s="216">
        <v>465</v>
      </c>
      <c r="H61" s="216">
        <v>510</v>
      </c>
      <c r="I61" s="216">
        <v>215</v>
      </c>
      <c r="J61" s="216">
        <v>200</v>
      </c>
      <c r="K61" s="216"/>
      <c r="L61" s="188"/>
      <c r="M61" s="216">
        <v>330</v>
      </c>
      <c r="N61" s="216">
        <v>370</v>
      </c>
      <c r="O61" s="218">
        <v>315</v>
      </c>
      <c r="P61" s="216">
        <v>315</v>
      </c>
      <c r="Q61" s="216">
        <v>360</v>
      </c>
      <c r="R61" s="216">
        <v>215</v>
      </c>
      <c r="S61" s="216">
        <v>200</v>
      </c>
      <c r="T61" s="500"/>
      <c r="U61" s="187"/>
      <c r="V61" s="216">
        <v>165</v>
      </c>
      <c r="W61" s="216">
        <v>150</v>
      </c>
      <c r="X61" s="200">
        <v>135</v>
      </c>
      <c r="Y61" s="213">
        <v>145</v>
      </c>
      <c r="Z61" s="213">
        <v>145</v>
      </c>
      <c r="AA61" s="213" t="s">
        <v>75</v>
      </c>
      <c r="AB61" s="213" t="s">
        <v>75</v>
      </c>
      <c r="AC61" s="500"/>
      <c r="AI61" s="184"/>
    </row>
    <row r="62" spans="1:35" s="189" customFormat="1" ht="16.2" customHeight="1" x14ac:dyDescent="0.25">
      <c r="B62" s="217" t="s">
        <v>319</v>
      </c>
      <c r="C62" s="217" t="s">
        <v>320</v>
      </c>
      <c r="D62" s="216">
        <v>210</v>
      </c>
      <c r="E62" s="216">
        <v>255</v>
      </c>
      <c r="F62" s="218">
        <v>200</v>
      </c>
      <c r="G62" s="216">
        <v>135</v>
      </c>
      <c r="H62" s="216">
        <v>145</v>
      </c>
      <c r="I62" s="216">
        <v>130</v>
      </c>
      <c r="J62" s="216">
        <v>115</v>
      </c>
      <c r="K62" s="216"/>
      <c r="L62" s="188"/>
      <c r="M62" s="216">
        <v>165</v>
      </c>
      <c r="N62" s="216">
        <v>210</v>
      </c>
      <c r="O62" s="218">
        <v>140</v>
      </c>
      <c r="P62" s="216">
        <v>95</v>
      </c>
      <c r="Q62" s="216">
        <v>110</v>
      </c>
      <c r="R62" s="216">
        <v>125</v>
      </c>
      <c r="S62" s="216">
        <v>110</v>
      </c>
      <c r="T62" s="500"/>
      <c r="U62" s="187"/>
      <c r="V62" s="216">
        <v>40</v>
      </c>
      <c r="W62" s="216">
        <v>45</v>
      </c>
      <c r="X62" s="200">
        <v>30</v>
      </c>
      <c r="Y62" s="213">
        <v>15</v>
      </c>
      <c r="Z62" s="213">
        <v>10</v>
      </c>
      <c r="AA62" s="213">
        <v>5</v>
      </c>
      <c r="AB62" s="213">
        <v>5</v>
      </c>
      <c r="AC62" s="500"/>
      <c r="AI62" s="184"/>
    </row>
    <row r="63" spans="1:35" ht="16.2" customHeight="1" x14ac:dyDescent="0.25">
      <c r="A63" s="292"/>
      <c r="B63" s="298" t="s">
        <v>321</v>
      </c>
      <c r="C63" s="298" t="s">
        <v>322</v>
      </c>
      <c r="D63" s="216">
        <v>10</v>
      </c>
      <c r="E63" s="216">
        <v>5</v>
      </c>
      <c r="F63" s="218">
        <v>10</v>
      </c>
      <c r="G63" s="216">
        <v>10</v>
      </c>
      <c r="H63" s="216">
        <v>10</v>
      </c>
      <c r="I63" s="216">
        <v>5</v>
      </c>
      <c r="J63" s="216">
        <v>5</v>
      </c>
      <c r="K63" s="216"/>
      <c r="L63" s="216"/>
      <c r="M63" s="216">
        <v>10</v>
      </c>
      <c r="N63" s="216">
        <v>5</v>
      </c>
      <c r="O63" s="218">
        <v>10</v>
      </c>
      <c r="P63" s="216">
        <v>10</v>
      </c>
      <c r="Q63" s="216">
        <v>5</v>
      </c>
      <c r="R63" s="216">
        <v>5</v>
      </c>
      <c r="S63" s="216">
        <v>5</v>
      </c>
      <c r="T63" s="500"/>
      <c r="U63" s="187"/>
      <c r="V63" s="216" t="s">
        <v>230</v>
      </c>
      <c r="W63" s="216" t="s">
        <v>230</v>
      </c>
      <c r="X63" s="200" t="s">
        <v>230</v>
      </c>
      <c r="Y63" s="213" t="s">
        <v>230</v>
      </c>
      <c r="Z63" s="213" t="s">
        <v>230</v>
      </c>
      <c r="AA63" s="213" t="s">
        <v>75</v>
      </c>
      <c r="AB63" s="213" t="s">
        <v>75</v>
      </c>
      <c r="AC63" s="500"/>
    </row>
    <row r="64" spans="1:35" s="189" customFormat="1" ht="16.2" customHeight="1" x14ac:dyDescent="0.25">
      <c r="A64" s="292"/>
      <c r="B64" s="217" t="s">
        <v>323</v>
      </c>
      <c r="C64" s="217" t="s">
        <v>324</v>
      </c>
      <c r="D64" s="216">
        <v>180</v>
      </c>
      <c r="E64" s="216">
        <v>200</v>
      </c>
      <c r="F64" s="200">
        <v>205</v>
      </c>
      <c r="G64" s="213">
        <v>210</v>
      </c>
      <c r="H64" s="213">
        <v>210</v>
      </c>
      <c r="I64" s="216">
        <v>220</v>
      </c>
      <c r="J64" s="216">
        <v>210</v>
      </c>
      <c r="K64" s="216"/>
      <c r="L64" s="188"/>
      <c r="M64" s="216">
        <v>130</v>
      </c>
      <c r="N64" s="216">
        <v>125</v>
      </c>
      <c r="O64" s="218">
        <v>120</v>
      </c>
      <c r="P64" s="216">
        <v>130</v>
      </c>
      <c r="Q64" s="216">
        <v>125</v>
      </c>
      <c r="R64" s="216">
        <v>130</v>
      </c>
      <c r="S64" s="216">
        <v>130</v>
      </c>
      <c r="T64" s="500"/>
      <c r="U64" s="187"/>
      <c r="V64" s="216">
        <v>50</v>
      </c>
      <c r="W64" s="216">
        <v>75</v>
      </c>
      <c r="X64" s="200">
        <v>85</v>
      </c>
      <c r="Y64" s="213">
        <v>80</v>
      </c>
      <c r="Z64" s="213">
        <v>85</v>
      </c>
      <c r="AA64" s="213">
        <v>85</v>
      </c>
      <c r="AB64" s="213">
        <v>80</v>
      </c>
      <c r="AC64" s="500"/>
      <c r="AI64" s="184"/>
    </row>
    <row r="65" spans="1:35" s="189" customFormat="1" ht="16.2" customHeight="1" x14ac:dyDescent="0.25">
      <c r="A65" s="292"/>
      <c r="B65" s="217" t="s">
        <v>325</v>
      </c>
      <c r="C65" s="217" t="s">
        <v>326</v>
      </c>
      <c r="D65" s="216">
        <v>40</v>
      </c>
      <c r="E65" s="216">
        <v>30</v>
      </c>
      <c r="F65" s="218">
        <v>60</v>
      </c>
      <c r="G65" s="216">
        <v>50</v>
      </c>
      <c r="H65" s="216">
        <v>55</v>
      </c>
      <c r="I65" s="216">
        <v>40</v>
      </c>
      <c r="J65" s="216">
        <v>30</v>
      </c>
      <c r="K65" s="216"/>
      <c r="L65" s="188"/>
      <c r="M65" s="216">
        <v>40</v>
      </c>
      <c r="N65" s="216">
        <v>30</v>
      </c>
      <c r="O65" s="218">
        <v>40</v>
      </c>
      <c r="P65" s="216">
        <v>50</v>
      </c>
      <c r="Q65" s="216">
        <v>50</v>
      </c>
      <c r="R65" s="216">
        <v>40</v>
      </c>
      <c r="S65" s="216">
        <v>30</v>
      </c>
      <c r="T65" s="500"/>
      <c r="U65" s="187"/>
      <c r="V65" s="216">
        <v>5</v>
      </c>
      <c r="W65" s="216" t="s">
        <v>230</v>
      </c>
      <c r="X65" s="200">
        <v>15</v>
      </c>
      <c r="Y65" s="213" t="s">
        <v>230</v>
      </c>
      <c r="Z65" s="213" t="s">
        <v>230</v>
      </c>
      <c r="AA65" s="213" t="s">
        <v>230</v>
      </c>
      <c r="AB65" s="213" t="s">
        <v>75</v>
      </c>
      <c r="AC65" s="500"/>
      <c r="AI65" s="184"/>
    </row>
    <row r="66" spans="1:35" s="189" customFormat="1" ht="16.2" customHeight="1" x14ac:dyDescent="0.25">
      <c r="A66" s="292"/>
      <c r="B66" s="217" t="s">
        <v>327</v>
      </c>
      <c r="C66" s="217" t="s">
        <v>328</v>
      </c>
      <c r="D66" s="216">
        <v>115</v>
      </c>
      <c r="E66" s="216">
        <v>90</v>
      </c>
      <c r="F66" s="218">
        <v>25</v>
      </c>
      <c r="G66" s="216">
        <v>40</v>
      </c>
      <c r="H66" s="216">
        <v>80</v>
      </c>
      <c r="I66" s="216">
        <v>25</v>
      </c>
      <c r="J66" s="216">
        <v>30</v>
      </c>
      <c r="K66" s="216"/>
      <c r="L66" s="188"/>
      <c r="M66" s="216">
        <v>95</v>
      </c>
      <c r="N66" s="216">
        <v>70</v>
      </c>
      <c r="O66" s="218">
        <v>25</v>
      </c>
      <c r="P66" s="216">
        <v>40</v>
      </c>
      <c r="Q66" s="216">
        <v>35</v>
      </c>
      <c r="R66" s="216">
        <v>25</v>
      </c>
      <c r="S66" s="216">
        <v>30</v>
      </c>
      <c r="T66" s="500"/>
      <c r="U66" s="187"/>
      <c r="V66" s="216">
        <v>20</v>
      </c>
      <c r="W66" s="216">
        <v>20</v>
      </c>
      <c r="X66" s="200" t="s">
        <v>230</v>
      </c>
      <c r="Y66" s="213" t="s">
        <v>230</v>
      </c>
      <c r="Z66" s="213">
        <v>45</v>
      </c>
      <c r="AA66" s="213" t="s">
        <v>75</v>
      </c>
      <c r="AB66" s="213" t="s">
        <v>75</v>
      </c>
      <c r="AC66" s="500"/>
      <c r="AI66" s="184"/>
    </row>
    <row r="67" spans="1:35" s="189" customFormat="1" ht="16.2" customHeight="1" x14ac:dyDescent="0.25">
      <c r="B67" s="217" t="s">
        <v>329</v>
      </c>
      <c r="C67" s="217" t="s">
        <v>330</v>
      </c>
      <c r="D67" s="216">
        <v>540</v>
      </c>
      <c r="E67" s="216">
        <v>665</v>
      </c>
      <c r="F67" s="218">
        <v>465</v>
      </c>
      <c r="G67" s="216">
        <v>505</v>
      </c>
      <c r="H67" s="216">
        <v>465</v>
      </c>
      <c r="I67" s="216">
        <v>660</v>
      </c>
      <c r="J67" s="216">
        <v>800</v>
      </c>
      <c r="K67" s="216"/>
      <c r="L67" s="188"/>
      <c r="M67" s="216">
        <v>495</v>
      </c>
      <c r="N67" s="216">
        <v>620</v>
      </c>
      <c r="O67" s="218">
        <v>460</v>
      </c>
      <c r="P67" s="216">
        <v>490</v>
      </c>
      <c r="Q67" s="216">
        <v>460</v>
      </c>
      <c r="R67" s="216">
        <v>415</v>
      </c>
      <c r="S67" s="216">
        <v>510</v>
      </c>
      <c r="T67" s="500"/>
      <c r="U67" s="187"/>
      <c r="V67" s="216">
        <v>45</v>
      </c>
      <c r="W67" s="216">
        <v>45</v>
      </c>
      <c r="X67" s="200" t="s">
        <v>230</v>
      </c>
      <c r="Y67" s="213" t="s">
        <v>230</v>
      </c>
      <c r="Z67" s="213" t="s">
        <v>230</v>
      </c>
      <c r="AA67" s="213">
        <v>235</v>
      </c>
      <c r="AB67" s="213">
        <v>285</v>
      </c>
      <c r="AC67" s="500"/>
      <c r="AI67" s="184"/>
    </row>
    <row r="68" spans="1:35" s="189" customFormat="1" ht="16.2" customHeight="1" x14ac:dyDescent="0.25">
      <c r="A68" s="292"/>
      <c r="B68" s="217" t="s">
        <v>331</v>
      </c>
      <c r="C68" s="217" t="s">
        <v>332</v>
      </c>
      <c r="D68" s="216">
        <v>265</v>
      </c>
      <c r="E68" s="216">
        <v>310</v>
      </c>
      <c r="F68" s="218">
        <v>255</v>
      </c>
      <c r="G68" s="216">
        <v>230</v>
      </c>
      <c r="H68" s="216">
        <v>200</v>
      </c>
      <c r="I68" s="216">
        <v>205</v>
      </c>
      <c r="J68" s="216">
        <v>235</v>
      </c>
      <c r="K68" s="216"/>
      <c r="L68" s="188"/>
      <c r="M68" s="216">
        <v>195</v>
      </c>
      <c r="N68" s="216">
        <v>215</v>
      </c>
      <c r="O68" s="218">
        <v>180</v>
      </c>
      <c r="P68" s="216">
        <v>165</v>
      </c>
      <c r="Q68" s="216">
        <v>135</v>
      </c>
      <c r="R68" s="216">
        <v>140</v>
      </c>
      <c r="S68" s="216">
        <v>175</v>
      </c>
      <c r="T68" s="500"/>
      <c r="U68" s="187"/>
      <c r="V68" s="216">
        <v>65</v>
      </c>
      <c r="W68" s="216">
        <v>100</v>
      </c>
      <c r="X68" s="200">
        <v>70</v>
      </c>
      <c r="Y68" s="213">
        <v>60</v>
      </c>
      <c r="Z68" s="213">
        <v>60</v>
      </c>
      <c r="AA68" s="213">
        <v>65</v>
      </c>
      <c r="AB68" s="213">
        <v>55</v>
      </c>
      <c r="AC68" s="500"/>
      <c r="AI68" s="184"/>
    </row>
    <row r="69" spans="1:35" s="189" customFormat="1" ht="16.2" customHeight="1" x14ac:dyDescent="0.25">
      <c r="A69" s="292"/>
      <c r="B69" s="217" t="s">
        <v>333</v>
      </c>
      <c r="C69" s="217" t="s">
        <v>334</v>
      </c>
      <c r="D69" s="216">
        <v>410</v>
      </c>
      <c r="E69" s="216">
        <v>420</v>
      </c>
      <c r="F69" s="218">
        <v>410</v>
      </c>
      <c r="G69" s="216">
        <v>430</v>
      </c>
      <c r="H69" s="216">
        <v>395</v>
      </c>
      <c r="I69" s="216">
        <v>400</v>
      </c>
      <c r="J69" s="216">
        <v>420</v>
      </c>
      <c r="K69" s="216"/>
      <c r="L69" s="188"/>
      <c r="M69" s="216">
        <v>250</v>
      </c>
      <c r="N69" s="216">
        <v>260</v>
      </c>
      <c r="O69" s="218">
        <v>265</v>
      </c>
      <c r="P69" s="216">
        <v>285</v>
      </c>
      <c r="Q69" s="216">
        <v>270</v>
      </c>
      <c r="R69" s="216">
        <v>250</v>
      </c>
      <c r="S69" s="216">
        <v>255</v>
      </c>
      <c r="T69" s="500"/>
      <c r="U69" s="187"/>
      <c r="V69" s="216">
        <v>160</v>
      </c>
      <c r="W69" s="216">
        <v>160</v>
      </c>
      <c r="X69" s="200">
        <v>140</v>
      </c>
      <c r="Y69" s="213">
        <v>140</v>
      </c>
      <c r="Z69" s="213">
        <v>120</v>
      </c>
      <c r="AA69" s="213">
        <v>145</v>
      </c>
      <c r="AB69" s="213">
        <v>160</v>
      </c>
      <c r="AC69" s="500"/>
      <c r="AI69" s="184"/>
    </row>
    <row r="70" spans="1:35" s="189" customFormat="1" ht="16.2" customHeight="1" x14ac:dyDescent="0.25">
      <c r="A70" s="292"/>
      <c r="B70" s="217" t="s">
        <v>335</v>
      </c>
      <c r="C70" s="217" t="s">
        <v>336</v>
      </c>
      <c r="D70" s="216">
        <v>395</v>
      </c>
      <c r="E70" s="216">
        <v>350</v>
      </c>
      <c r="F70" s="218">
        <v>360</v>
      </c>
      <c r="G70" s="216">
        <v>380</v>
      </c>
      <c r="H70" s="216" t="s">
        <v>230</v>
      </c>
      <c r="I70" s="216">
        <v>300</v>
      </c>
      <c r="J70" s="216">
        <v>285</v>
      </c>
      <c r="K70" s="216"/>
      <c r="L70" s="188"/>
      <c r="M70" s="216">
        <v>275</v>
      </c>
      <c r="N70" s="216">
        <v>245</v>
      </c>
      <c r="O70" s="218">
        <v>280</v>
      </c>
      <c r="P70" s="216">
        <v>300</v>
      </c>
      <c r="Q70" s="216" t="s">
        <v>230</v>
      </c>
      <c r="R70" s="216">
        <v>290</v>
      </c>
      <c r="S70" s="216">
        <v>280</v>
      </c>
      <c r="T70" s="500"/>
      <c r="U70" s="187"/>
      <c r="V70" s="216">
        <v>115</v>
      </c>
      <c r="W70" s="216">
        <v>105</v>
      </c>
      <c r="X70" s="200">
        <v>80</v>
      </c>
      <c r="Y70" s="213">
        <v>75</v>
      </c>
      <c r="Z70" s="213" t="s">
        <v>230</v>
      </c>
      <c r="AA70" s="213" t="s">
        <v>75</v>
      </c>
      <c r="AB70" s="213" t="s">
        <v>75</v>
      </c>
      <c r="AC70" s="500"/>
      <c r="AI70" s="184"/>
    </row>
    <row r="71" spans="1:35" s="189" customFormat="1" ht="16.2" customHeight="1" x14ac:dyDescent="0.25">
      <c r="A71" s="292"/>
      <c r="B71" s="217" t="s">
        <v>337</v>
      </c>
      <c r="C71" s="217" t="s">
        <v>338</v>
      </c>
      <c r="D71" s="216">
        <v>520</v>
      </c>
      <c r="E71" s="216">
        <v>355</v>
      </c>
      <c r="F71" s="218">
        <v>450</v>
      </c>
      <c r="G71" s="216">
        <v>430</v>
      </c>
      <c r="H71" s="216">
        <v>425</v>
      </c>
      <c r="I71" s="216">
        <v>390</v>
      </c>
      <c r="J71" s="216">
        <v>265</v>
      </c>
      <c r="K71" s="216"/>
      <c r="L71" s="188"/>
      <c r="M71" s="216">
        <v>425</v>
      </c>
      <c r="N71" s="216">
        <v>280</v>
      </c>
      <c r="O71" s="218">
        <v>315</v>
      </c>
      <c r="P71" s="216">
        <v>320</v>
      </c>
      <c r="Q71" s="216">
        <v>315</v>
      </c>
      <c r="R71" s="216">
        <v>270</v>
      </c>
      <c r="S71" s="216">
        <v>170</v>
      </c>
      <c r="T71" s="500"/>
      <c r="U71" s="187"/>
      <c r="V71" s="216">
        <v>95</v>
      </c>
      <c r="W71" s="216">
        <v>75</v>
      </c>
      <c r="X71" s="200">
        <v>130</v>
      </c>
      <c r="Y71" s="213">
        <v>110</v>
      </c>
      <c r="Z71" s="213">
        <v>100</v>
      </c>
      <c r="AA71" s="213">
        <v>115</v>
      </c>
      <c r="AB71" s="213">
        <v>90</v>
      </c>
      <c r="AC71" s="500"/>
      <c r="AI71" s="184"/>
    </row>
    <row r="72" spans="1:35" s="189" customFormat="1" ht="16.2" customHeight="1" x14ac:dyDescent="0.25">
      <c r="B72" s="217" t="s">
        <v>339</v>
      </c>
      <c r="C72" s="217" t="s">
        <v>340</v>
      </c>
      <c r="D72" s="216">
        <v>150</v>
      </c>
      <c r="E72" s="216">
        <v>155</v>
      </c>
      <c r="F72" s="218">
        <v>130</v>
      </c>
      <c r="G72" s="216">
        <v>160</v>
      </c>
      <c r="H72" s="216">
        <v>210</v>
      </c>
      <c r="I72" s="216">
        <v>120</v>
      </c>
      <c r="J72" s="216" t="s">
        <v>230</v>
      </c>
      <c r="K72" s="216"/>
      <c r="L72" s="188"/>
      <c r="M72" s="216">
        <v>95</v>
      </c>
      <c r="N72" s="216">
        <v>105</v>
      </c>
      <c r="O72" s="218">
        <v>90</v>
      </c>
      <c r="P72" s="216">
        <v>125</v>
      </c>
      <c r="Q72" s="216">
        <v>120</v>
      </c>
      <c r="R72" s="216">
        <v>115</v>
      </c>
      <c r="S72" s="216" t="s">
        <v>75</v>
      </c>
      <c r="T72" s="500"/>
      <c r="U72" s="187"/>
      <c r="V72" s="216">
        <v>55</v>
      </c>
      <c r="W72" s="216">
        <v>50</v>
      </c>
      <c r="X72" s="200">
        <v>35</v>
      </c>
      <c r="Y72" s="213">
        <v>30</v>
      </c>
      <c r="Z72" s="213">
        <v>90</v>
      </c>
      <c r="AA72" s="213" t="s">
        <v>75</v>
      </c>
      <c r="AB72" s="213" t="s">
        <v>75</v>
      </c>
      <c r="AC72" s="500"/>
      <c r="AI72" s="184"/>
    </row>
    <row r="73" spans="1:35" s="189" customFormat="1" ht="16.2" customHeight="1" x14ac:dyDescent="0.25">
      <c r="A73" s="292"/>
      <c r="B73" s="217" t="s">
        <v>341</v>
      </c>
      <c r="C73" s="217" t="s">
        <v>342</v>
      </c>
      <c r="D73" s="216">
        <v>475</v>
      </c>
      <c r="E73" s="216">
        <v>515</v>
      </c>
      <c r="F73" s="218">
        <v>255</v>
      </c>
      <c r="G73" s="216">
        <v>395</v>
      </c>
      <c r="H73" s="216">
        <v>410</v>
      </c>
      <c r="I73" s="216">
        <v>435</v>
      </c>
      <c r="J73" s="216">
        <v>460</v>
      </c>
      <c r="K73" s="216"/>
      <c r="L73" s="188"/>
      <c r="M73" s="216">
        <v>320</v>
      </c>
      <c r="N73" s="216">
        <v>335</v>
      </c>
      <c r="O73" s="218">
        <v>250</v>
      </c>
      <c r="P73" s="216">
        <v>390</v>
      </c>
      <c r="Q73" s="216">
        <v>405</v>
      </c>
      <c r="R73" s="216">
        <v>365</v>
      </c>
      <c r="S73" s="216">
        <v>395</v>
      </c>
      <c r="T73" s="500"/>
      <c r="U73" s="187"/>
      <c r="V73" s="216">
        <v>155</v>
      </c>
      <c r="W73" s="216">
        <v>175</v>
      </c>
      <c r="X73" s="200" t="s">
        <v>230</v>
      </c>
      <c r="Y73" s="213" t="s">
        <v>230</v>
      </c>
      <c r="Z73" s="213" t="s">
        <v>230</v>
      </c>
      <c r="AA73" s="213">
        <v>65</v>
      </c>
      <c r="AB73" s="213">
        <v>65</v>
      </c>
      <c r="AC73" s="500"/>
      <c r="AI73" s="184"/>
    </row>
    <row r="74" spans="1:35" s="189" customFormat="1" ht="16.2" customHeight="1" x14ac:dyDescent="0.25">
      <c r="A74" s="292"/>
      <c r="B74" s="217" t="s">
        <v>343</v>
      </c>
      <c r="C74" s="217" t="s">
        <v>344</v>
      </c>
      <c r="D74" s="216">
        <v>770</v>
      </c>
      <c r="E74" s="216">
        <v>895</v>
      </c>
      <c r="F74" s="218">
        <v>715</v>
      </c>
      <c r="G74" s="216">
        <v>715</v>
      </c>
      <c r="H74" s="216">
        <v>650</v>
      </c>
      <c r="I74" s="216">
        <v>635</v>
      </c>
      <c r="J74" s="216">
        <v>640</v>
      </c>
      <c r="K74" s="216"/>
      <c r="L74" s="188"/>
      <c r="M74" s="216">
        <v>560</v>
      </c>
      <c r="N74" s="216">
        <v>560</v>
      </c>
      <c r="O74" s="218">
        <v>520</v>
      </c>
      <c r="P74" s="216">
        <v>540</v>
      </c>
      <c r="Q74" s="216">
        <v>500</v>
      </c>
      <c r="R74" s="216">
        <v>475</v>
      </c>
      <c r="S74" s="216">
        <v>470</v>
      </c>
      <c r="T74" s="500"/>
      <c r="U74" s="187"/>
      <c r="V74" s="216">
        <v>210</v>
      </c>
      <c r="W74" s="216">
        <v>340</v>
      </c>
      <c r="X74" s="200">
        <v>190</v>
      </c>
      <c r="Y74" s="213">
        <v>175</v>
      </c>
      <c r="Z74" s="213">
        <v>150</v>
      </c>
      <c r="AA74" s="213">
        <v>160</v>
      </c>
      <c r="AB74" s="213">
        <v>165</v>
      </c>
      <c r="AC74" s="500"/>
      <c r="AI74" s="184"/>
    </row>
    <row r="75" spans="1:35" s="189" customFormat="1" ht="16.2" customHeight="1" x14ac:dyDescent="0.25">
      <c r="A75" s="292"/>
      <c r="B75" s="217" t="s">
        <v>345</v>
      </c>
      <c r="C75" s="217" t="s">
        <v>346</v>
      </c>
      <c r="D75" s="216">
        <v>775</v>
      </c>
      <c r="E75" s="216">
        <v>775</v>
      </c>
      <c r="F75" s="218">
        <v>760</v>
      </c>
      <c r="G75" s="216">
        <v>785</v>
      </c>
      <c r="H75" s="216">
        <v>770</v>
      </c>
      <c r="I75" s="216">
        <v>720</v>
      </c>
      <c r="J75" s="216">
        <v>760</v>
      </c>
      <c r="K75" s="216"/>
      <c r="L75" s="188"/>
      <c r="M75" s="216">
        <v>645</v>
      </c>
      <c r="N75" s="216">
        <v>640</v>
      </c>
      <c r="O75" s="218">
        <v>640</v>
      </c>
      <c r="P75" s="216">
        <v>620</v>
      </c>
      <c r="Q75" s="216">
        <v>595</v>
      </c>
      <c r="R75" s="216">
        <v>545</v>
      </c>
      <c r="S75" s="216">
        <v>565</v>
      </c>
      <c r="T75" s="500"/>
      <c r="U75" s="187"/>
      <c r="V75" s="216">
        <v>130</v>
      </c>
      <c r="W75" s="216">
        <v>135</v>
      </c>
      <c r="X75" s="200">
        <v>115</v>
      </c>
      <c r="Y75" s="213">
        <v>160</v>
      </c>
      <c r="Z75" s="213">
        <v>170</v>
      </c>
      <c r="AA75" s="213">
        <v>175</v>
      </c>
      <c r="AB75" s="213">
        <v>190</v>
      </c>
      <c r="AC75" s="500"/>
      <c r="AI75" s="184"/>
    </row>
    <row r="76" spans="1:35" s="189" customFormat="1" ht="16.2" customHeight="1" x14ac:dyDescent="0.25">
      <c r="A76" s="292"/>
      <c r="B76" s="217" t="s">
        <v>347</v>
      </c>
      <c r="C76" s="217" t="s">
        <v>348</v>
      </c>
      <c r="D76" s="216">
        <v>160</v>
      </c>
      <c r="E76" s="216">
        <v>90</v>
      </c>
      <c r="F76" s="218">
        <v>95</v>
      </c>
      <c r="G76" s="216">
        <v>100</v>
      </c>
      <c r="H76" s="216">
        <v>120</v>
      </c>
      <c r="I76" s="216">
        <v>115</v>
      </c>
      <c r="J76" s="216">
        <v>145</v>
      </c>
      <c r="K76" s="216"/>
      <c r="L76" s="188"/>
      <c r="M76" s="216">
        <v>125</v>
      </c>
      <c r="N76" s="216">
        <v>60</v>
      </c>
      <c r="O76" s="218">
        <v>65</v>
      </c>
      <c r="P76" s="216">
        <v>55</v>
      </c>
      <c r="Q76" s="216">
        <v>60</v>
      </c>
      <c r="R76" s="216">
        <v>55</v>
      </c>
      <c r="S76" s="216">
        <v>65</v>
      </c>
      <c r="T76" s="500"/>
      <c r="U76" s="187"/>
      <c r="V76" s="216">
        <v>35</v>
      </c>
      <c r="W76" s="216">
        <v>30</v>
      </c>
      <c r="X76" s="200">
        <v>30</v>
      </c>
      <c r="Y76" s="213">
        <v>50</v>
      </c>
      <c r="Z76" s="213">
        <v>60</v>
      </c>
      <c r="AA76" s="213">
        <v>60</v>
      </c>
      <c r="AB76" s="213">
        <v>80</v>
      </c>
      <c r="AC76" s="500"/>
      <c r="AI76" s="184"/>
    </row>
    <row r="77" spans="1:35" s="189" customFormat="1" ht="16.2" customHeight="1" x14ac:dyDescent="0.25">
      <c r="A77" s="284"/>
      <c r="B77" s="219"/>
      <c r="C77" s="219"/>
      <c r="D77" s="213"/>
      <c r="E77" s="213"/>
      <c r="F77" s="218"/>
      <c r="G77" s="216"/>
      <c r="H77" s="216"/>
      <c r="I77" s="216"/>
      <c r="J77" s="561"/>
      <c r="K77" s="561"/>
      <c r="L77" s="216"/>
      <c r="M77" s="213"/>
      <c r="N77" s="213"/>
      <c r="O77" s="297"/>
      <c r="P77" s="295"/>
      <c r="Q77" s="295"/>
      <c r="R77" s="216"/>
      <c r="S77" s="216"/>
      <c r="T77" s="563"/>
      <c r="U77" s="295"/>
      <c r="V77" s="213"/>
      <c r="W77" s="213"/>
      <c r="X77" s="218"/>
      <c r="Y77" s="216"/>
      <c r="Z77" s="216"/>
      <c r="AA77" s="213"/>
      <c r="AB77" s="213"/>
      <c r="AC77" s="563"/>
      <c r="AI77" s="184"/>
    </row>
    <row r="78" spans="1:35" s="189" customFormat="1" ht="16.2" customHeight="1" x14ac:dyDescent="0.25">
      <c r="A78" s="201" t="s">
        <v>349</v>
      </c>
      <c r="B78" s="217"/>
      <c r="C78" s="217"/>
      <c r="D78" s="295"/>
      <c r="E78" s="295"/>
      <c r="F78" s="218"/>
      <c r="G78" s="216"/>
      <c r="H78" s="216"/>
      <c r="I78" s="216"/>
      <c r="J78" s="561"/>
      <c r="K78" s="561"/>
      <c r="L78" s="216"/>
      <c r="M78" s="295"/>
      <c r="N78" s="295"/>
      <c r="O78" s="218"/>
      <c r="P78" s="216"/>
      <c r="Q78" s="216"/>
      <c r="R78" s="216"/>
      <c r="S78" s="216"/>
      <c r="T78" s="563"/>
      <c r="U78" s="295"/>
      <c r="V78" s="295"/>
      <c r="W78" s="295"/>
      <c r="X78" s="218"/>
      <c r="Y78" s="216"/>
      <c r="Z78" s="216"/>
      <c r="AA78" s="213"/>
      <c r="AB78" s="213"/>
      <c r="AC78" s="563"/>
      <c r="AI78" s="184"/>
    </row>
    <row r="79" spans="1:35" s="189" customFormat="1" ht="16.2" customHeight="1" x14ac:dyDescent="0.25">
      <c r="B79" s="217" t="s">
        <v>350</v>
      </c>
      <c r="C79" s="217" t="s">
        <v>351</v>
      </c>
      <c r="D79" s="216" t="s">
        <v>75</v>
      </c>
      <c r="E79" s="216" t="s">
        <v>75</v>
      </c>
      <c r="F79" s="218" t="s">
        <v>230</v>
      </c>
      <c r="G79" s="216" t="s">
        <v>75</v>
      </c>
      <c r="H79" s="216" t="s">
        <v>75</v>
      </c>
      <c r="I79" s="216" t="s">
        <v>75</v>
      </c>
      <c r="J79" s="216" t="s">
        <v>75</v>
      </c>
      <c r="K79" s="500"/>
      <c r="L79" s="216"/>
      <c r="M79" s="216" t="s">
        <v>75</v>
      </c>
      <c r="N79" s="216" t="s">
        <v>75</v>
      </c>
      <c r="O79" s="218" t="s">
        <v>230</v>
      </c>
      <c r="P79" s="216" t="s">
        <v>75</v>
      </c>
      <c r="Q79" s="216" t="s">
        <v>75</v>
      </c>
      <c r="R79" s="216" t="s">
        <v>75</v>
      </c>
      <c r="S79" s="216" t="s">
        <v>75</v>
      </c>
      <c r="T79" s="500"/>
      <c r="U79" s="295"/>
      <c r="V79" s="216" t="s">
        <v>75</v>
      </c>
      <c r="W79" s="216" t="s">
        <v>75</v>
      </c>
      <c r="X79" s="200" t="s">
        <v>230</v>
      </c>
      <c r="Y79" s="213" t="s">
        <v>75</v>
      </c>
      <c r="Z79" s="213" t="s">
        <v>75</v>
      </c>
      <c r="AA79" s="213" t="s">
        <v>75</v>
      </c>
      <c r="AB79" s="213" t="s">
        <v>75</v>
      </c>
      <c r="AC79" s="500"/>
      <c r="AI79" s="184"/>
    </row>
    <row r="80" spans="1:35" s="189" customFormat="1" ht="16.2" customHeight="1" x14ac:dyDescent="0.25">
      <c r="B80" s="217" t="s">
        <v>352</v>
      </c>
      <c r="C80" s="191" t="s">
        <v>353</v>
      </c>
      <c r="D80" s="216" t="s">
        <v>75</v>
      </c>
      <c r="E80" s="216" t="s">
        <v>75</v>
      </c>
      <c r="F80" s="218" t="s">
        <v>75</v>
      </c>
      <c r="G80" s="216" t="s">
        <v>230</v>
      </c>
      <c r="H80" s="216" t="s">
        <v>75</v>
      </c>
      <c r="I80" s="216" t="s">
        <v>75</v>
      </c>
      <c r="J80" s="216" t="s">
        <v>75</v>
      </c>
      <c r="K80" s="216"/>
      <c r="L80" s="188"/>
      <c r="M80" s="216" t="s">
        <v>75</v>
      </c>
      <c r="N80" s="216" t="s">
        <v>75</v>
      </c>
      <c r="O80" s="218" t="s">
        <v>75</v>
      </c>
      <c r="P80" s="216" t="s">
        <v>230</v>
      </c>
      <c r="Q80" s="216" t="s">
        <v>75</v>
      </c>
      <c r="R80" s="216" t="s">
        <v>75</v>
      </c>
      <c r="S80" s="216" t="s">
        <v>75</v>
      </c>
      <c r="T80" s="500"/>
      <c r="U80" s="188"/>
      <c r="V80" s="216" t="s">
        <v>75</v>
      </c>
      <c r="W80" s="216" t="s">
        <v>75</v>
      </c>
      <c r="X80" s="218" t="s">
        <v>75</v>
      </c>
      <c r="Y80" s="216" t="s">
        <v>75</v>
      </c>
      <c r="Z80" s="216" t="s">
        <v>75</v>
      </c>
      <c r="AA80" s="213" t="s">
        <v>75</v>
      </c>
      <c r="AB80" s="213" t="s">
        <v>75</v>
      </c>
      <c r="AC80" s="500"/>
      <c r="AI80" s="184"/>
    </row>
    <row r="81" spans="1:35" s="189" customFormat="1" ht="16.2" customHeight="1" x14ac:dyDescent="0.25">
      <c r="A81" s="292"/>
      <c r="B81" s="217" t="s">
        <v>354</v>
      </c>
      <c r="C81" s="217" t="s">
        <v>355</v>
      </c>
      <c r="D81" s="216" t="s">
        <v>230</v>
      </c>
      <c r="E81" s="216">
        <v>5</v>
      </c>
      <c r="F81" s="218">
        <v>5</v>
      </c>
      <c r="G81" s="216" t="s">
        <v>75</v>
      </c>
      <c r="H81" s="216" t="s">
        <v>75</v>
      </c>
      <c r="I81" s="216" t="s">
        <v>75</v>
      </c>
      <c r="J81" s="216" t="s">
        <v>75</v>
      </c>
      <c r="K81" s="216"/>
      <c r="L81" s="216"/>
      <c r="M81" s="216" t="s">
        <v>230</v>
      </c>
      <c r="N81" s="216">
        <v>5</v>
      </c>
      <c r="O81" s="218">
        <v>5</v>
      </c>
      <c r="P81" s="216" t="s">
        <v>75</v>
      </c>
      <c r="Q81" s="216" t="s">
        <v>75</v>
      </c>
      <c r="R81" s="216" t="s">
        <v>75</v>
      </c>
      <c r="S81" s="216" t="s">
        <v>75</v>
      </c>
      <c r="T81" s="500"/>
      <c r="U81" s="295"/>
      <c r="V81" s="216" t="s">
        <v>230</v>
      </c>
      <c r="W81" s="216" t="s">
        <v>230</v>
      </c>
      <c r="X81" s="200" t="s">
        <v>230</v>
      </c>
      <c r="Y81" s="213" t="s">
        <v>75</v>
      </c>
      <c r="Z81" s="213" t="s">
        <v>75</v>
      </c>
      <c r="AA81" s="213" t="s">
        <v>75</v>
      </c>
      <c r="AB81" s="213" t="s">
        <v>75</v>
      </c>
      <c r="AC81" s="500"/>
      <c r="AI81" s="184"/>
    </row>
    <row r="82" spans="1:35" s="189" customFormat="1" ht="15.75" customHeight="1" x14ac:dyDescent="0.25">
      <c r="A82" s="292"/>
      <c r="B82" s="217" t="s">
        <v>356</v>
      </c>
      <c r="C82" s="217" t="s">
        <v>357</v>
      </c>
      <c r="D82" s="216">
        <v>45</v>
      </c>
      <c r="E82" s="216">
        <v>25</v>
      </c>
      <c r="F82" s="218" t="s">
        <v>230</v>
      </c>
      <c r="G82" s="216" t="s">
        <v>230</v>
      </c>
      <c r="H82" s="216">
        <v>5</v>
      </c>
      <c r="I82" s="216">
        <v>10</v>
      </c>
      <c r="J82" s="216">
        <v>5</v>
      </c>
      <c r="K82" s="216"/>
      <c r="L82" s="295"/>
      <c r="M82" s="216">
        <v>35</v>
      </c>
      <c r="N82" s="216">
        <v>15</v>
      </c>
      <c r="O82" s="218" t="s">
        <v>230</v>
      </c>
      <c r="P82" s="216" t="s">
        <v>230</v>
      </c>
      <c r="Q82" s="216" t="s">
        <v>230</v>
      </c>
      <c r="R82" s="216" t="s">
        <v>75</v>
      </c>
      <c r="S82" s="216" t="s">
        <v>75</v>
      </c>
      <c r="T82" s="500"/>
      <c r="U82" s="295"/>
      <c r="V82" s="216">
        <v>10</v>
      </c>
      <c r="W82" s="216">
        <v>10</v>
      </c>
      <c r="X82" s="200" t="s">
        <v>230</v>
      </c>
      <c r="Y82" s="213" t="s">
        <v>75</v>
      </c>
      <c r="Z82" s="213" t="s">
        <v>230</v>
      </c>
      <c r="AA82" s="213" t="s">
        <v>75</v>
      </c>
      <c r="AB82" s="213" t="s">
        <v>75</v>
      </c>
      <c r="AC82" s="500"/>
      <c r="AI82" s="184"/>
    </row>
    <row r="83" spans="1:35" s="189" customFormat="1" ht="16.2" customHeight="1" x14ac:dyDescent="0.25">
      <c r="A83" s="292"/>
      <c r="B83" s="219" t="s">
        <v>358</v>
      </c>
      <c r="C83" s="220" t="s">
        <v>359</v>
      </c>
      <c r="D83" s="216" t="s">
        <v>75</v>
      </c>
      <c r="E83" s="216" t="s">
        <v>75</v>
      </c>
      <c r="F83" s="218" t="s">
        <v>230</v>
      </c>
      <c r="G83" s="216">
        <v>5</v>
      </c>
      <c r="H83" s="216" t="s">
        <v>230</v>
      </c>
      <c r="I83" s="216" t="s">
        <v>75</v>
      </c>
      <c r="J83" s="216" t="s">
        <v>75</v>
      </c>
      <c r="K83" s="216"/>
      <c r="L83" s="213"/>
      <c r="M83" s="216" t="s">
        <v>75</v>
      </c>
      <c r="N83" s="216" t="s">
        <v>75</v>
      </c>
      <c r="O83" s="218" t="s">
        <v>75</v>
      </c>
      <c r="P83" s="216">
        <v>5</v>
      </c>
      <c r="Q83" s="216" t="s">
        <v>230</v>
      </c>
      <c r="R83" s="216" t="s">
        <v>75</v>
      </c>
      <c r="S83" s="216" t="s">
        <v>75</v>
      </c>
      <c r="T83" s="500"/>
      <c r="U83" s="295"/>
      <c r="V83" s="216" t="s">
        <v>75</v>
      </c>
      <c r="W83" s="216" t="s">
        <v>75</v>
      </c>
      <c r="X83" s="200" t="s">
        <v>75</v>
      </c>
      <c r="Y83" s="213" t="s">
        <v>230</v>
      </c>
      <c r="Z83" s="213" t="s">
        <v>230</v>
      </c>
      <c r="AA83" s="213" t="s">
        <v>75</v>
      </c>
      <c r="AB83" s="213" t="s">
        <v>75</v>
      </c>
      <c r="AC83" s="500"/>
      <c r="AI83" s="184"/>
    </row>
    <row r="84" spans="1:35" s="189" customFormat="1" ht="16.2" customHeight="1" x14ac:dyDescent="0.25">
      <c r="A84" s="292"/>
      <c r="B84" s="217" t="s">
        <v>360</v>
      </c>
      <c r="C84" s="217" t="s">
        <v>361</v>
      </c>
      <c r="D84" s="216" t="s">
        <v>75</v>
      </c>
      <c r="E84" s="216" t="s">
        <v>75</v>
      </c>
      <c r="F84" s="218" t="s">
        <v>230</v>
      </c>
      <c r="G84" s="216" t="s">
        <v>75</v>
      </c>
      <c r="H84" s="216" t="s">
        <v>75</v>
      </c>
      <c r="I84" s="216" t="s">
        <v>75</v>
      </c>
      <c r="J84" s="216" t="s">
        <v>75</v>
      </c>
      <c r="K84" s="216"/>
      <c r="L84" s="216"/>
      <c r="M84" s="216" t="s">
        <v>75</v>
      </c>
      <c r="N84" s="216" t="s">
        <v>75</v>
      </c>
      <c r="O84" s="218" t="s">
        <v>230</v>
      </c>
      <c r="P84" s="216" t="s">
        <v>75</v>
      </c>
      <c r="Q84" s="216" t="s">
        <v>75</v>
      </c>
      <c r="R84" s="216" t="s">
        <v>75</v>
      </c>
      <c r="S84" s="216" t="s">
        <v>75</v>
      </c>
      <c r="T84" s="500"/>
      <c r="U84" s="295"/>
      <c r="V84" s="216" t="s">
        <v>75</v>
      </c>
      <c r="W84" s="216" t="s">
        <v>75</v>
      </c>
      <c r="X84" s="200" t="s">
        <v>230</v>
      </c>
      <c r="Y84" s="213" t="s">
        <v>75</v>
      </c>
      <c r="Z84" s="213" t="s">
        <v>75</v>
      </c>
      <c r="AA84" s="213" t="s">
        <v>75</v>
      </c>
      <c r="AB84" s="213" t="s">
        <v>75</v>
      </c>
      <c r="AC84" s="500"/>
      <c r="AI84" s="184"/>
    </row>
    <row r="85" spans="1:35" s="189" customFormat="1" ht="16.2" customHeight="1" x14ac:dyDescent="0.25">
      <c r="A85" s="292"/>
      <c r="B85" s="217" t="s">
        <v>362</v>
      </c>
      <c r="C85" s="217" t="s">
        <v>363</v>
      </c>
      <c r="D85" s="216" t="s">
        <v>230</v>
      </c>
      <c r="E85" s="216" t="s">
        <v>230</v>
      </c>
      <c r="F85" s="218" t="s">
        <v>230</v>
      </c>
      <c r="G85" s="216" t="s">
        <v>75</v>
      </c>
      <c r="H85" s="216" t="s">
        <v>75</v>
      </c>
      <c r="I85" s="216" t="s">
        <v>75</v>
      </c>
      <c r="J85" s="216" t="s">
        <v>75</v>
      </c>
      <c r="K85" s="216"/>
      <c r="L85" s="216"/>
      <c r="M85" s="216" t="s">
        <v>230</v>
      </c>
      <c r="N85" s="216" t="s">
        <v>230</v>
      </c>
      <c r="O85" s="218" t="s">
        <v>230</v>
      </c>
      <c r="P85" s="216" t="s">
        <v>75</v>
      </c>
      <c r="Q85" s="216" t="s">
        <v>75</v>
      </c>
      <c r="R85" s="216" t="s">
        <v>75</v>
      </c>
      <c r="S85" s="216" t="s">
        <v>75</v>
      </c>
      <c r="T85" s="500"/>
      <c r="U85" s="295"/>
      <c r="V85" s="216" t="s">
        <v>230</v>
      </c>
      <c r="W85" s="216" t="s">
        <v>230</v>
      </c>
      <c r="X85" s="200" t="s">
        <v>230</v>
      </c>
      <c r="Y85" s="213" t="s">
        <v>75</v>
      </c>
      <c r="Z85" s="213" t="s">
        <v>75</v>
      </c>
      <c r="AA85" s="213" t="s">
        <v>75</v>
      </c>
      <c r="AB85" s="213" t="s">
        <v>75</v>
      </c>
      <c r="AC85" s="500"/>
      <c r="AI85" s="184"/>
    </row>
    <row r="86" spans="1:35" s="189" customFormat="1" ht="16.2" customHeight="1" x14ac:dyDescent="0.25">
      <c r="A86" s="292"/>
      <c r="B86" s="217" t="s">
        <v>364</v>
      </c>
      <c r="C86" s="217" t="s">
        <v>365</v>
      </c>
      <c r="D86" s="216" t="s">
        <v>230</v>
      </c>
      <c r="E86" s="216" t="s">
        <v>230</v>
      </c>
      <c r="F86" s="218" t="s">
        <v>230</v>
      </c>
      <c r="G86" s="216" t="s">
        <v>230</v>
      </c>
      <c r="H86" s="216" t="s">
        <v>75</v>
      </c>
      <c r="I86" s="216" t="s">
        <v>75</v>
      </c>
      <c r="J86" s="216" t="s">
        <v>75</v>
      </c>
      <c r="K86" s="216"/>
      <c r="L86" s="216"/>
      <c r="M86" s="216" t="s">
        <v>230</v>
      </c>
      <c r="N86" s="216" t="s">
        <v>230</v>
      </c>
      <c r="O86" s="218" t="s">
        <v>230</v>
      </c>
      <c r="P86" s="216" t="s">
        <v>230</v>
      </c>
      <c r="Q86" s="216" t="s">
        <v>75</v>
      </c>
      <c r="R86" s="216" t="s">
        <v>75</v>
      </c>
      <c r="S86" s="216" t="s">
        <v>75</v>
      </c>
      <c r="T86" s="500"/>
      <c r="U86" s="295"/>
      <c r="V86" s="216" t="s">
        <v>230</v>
      </c>
      <c r="W86" s="216" t="s">
        <v>230</v>
      </c>
      <c r="X86" s="200" t="s">
        <v>230</v>
      </c>
      <c r="Y86" s="213" t="s">
        <v>75</v>
      </c>
      <c r="Z86" s="213" t="s">
        <v>75</v>
      </c>
      <c r="AA86" s="213" t="s">
        <v>75</v>
      </c>
      <c r="AB86" s="213" t="s">
        <v>75</v>
      </c>
      <c r="AC86" s="500"/>
      <c r="AI86" s="184"/>
    </row>
    <row r="87" spans="1:35" s="189" customFormat="1" ht="16.2" customHeight="1" x14ac:dyDescent="0.25">
      <c r="A87" s="284"/>
      <c r="B87" s="217" t="s">
        <v>366</v>
      </c>
      <c r="C87" s="217" t="s">
        <v>367</v>
      </c>
      <c r="D87" s="216" t="s">
        <v>230</v>
      </c>
      <c r="E87" s="216" t="s">
        <v>230</v>
      </c>
      <c r="F87" s="218" t="s">
        <v>75</v>
      </c>
      <c r="G87" s="216" t="s">
        <v>75</v>
      </c>
      <c r="H87" s="216" t="s">
        <v>75</v>
      </c>
      <c r="I87" s="216" t="s">
        <v>75</v>
      </c>
      <c r="J87" s="216" t="s">
        <v>75</v>
      </c>
      <c r="K87" s="216"/>
      <c r="L87" s="216"/>
      <c r="M87" s="216" t="s">
        <v>230</v>
      </c>
      <c r="N87" s="216" t="s">
        <v>230</v>
      </c>
      <c r="O87" s="218" t="s">
        <v>75</v>
      </c>
      <c r="P87" s="216" t="s">
        <v>75</v>
      </c>
      <c r="Q87" s="216" t="s">
        <v>75</v>
      </c>
      <c r="R87" s="216" t="s">
        <v>75</v>
      </c>
      <c r="S87" s="216" t="s">
        <v>75</v>
      </c>
      <c r="T87" s="500"/>
      <c r="U87" s="295"/>
      <c r="V87" s="216" t="s">
        <v>230</v>
      </c>
      <c r="W87" s="216" t="s">
        <v>230</v>
      </c>
      <c r="X87" s="200" t="s">
        <v>75</v>
      </c>
      <c r="Y87" s="213" t="s">
        <v>75</v>
      </c>
      <c r="Z87" s="213" t="s">
        <v>75</v>
      </c>
      <c r="AA87" s="213" t="s">
        <v>75</v>
      </c>
      <c r="AB87" s="213" t="s">
        <v>75</v>
      </c>
      <c r="AC87" s="500"/>
      <c r="AI87" s="184"/>
    </row>
    <row r="88" spans="1:35" s="189" customFormat="1" ht="16.2" customHeight="1" x14ac:dyDescent="0.25">
      <c r="A88" s="284"/>
      <c r="B88" s="217" t="s">
        <v>368</v>
      </c>
      <c r="C88" s="217" t="s">
        <v>369</v>
      </c>
      <c r="D88" s="216">
        <v>5</v>
      </c>
      <c r="E88" s="216" t="s">
        <v>230</v>
      </c>
      <c r="F88" s="218" t="s">
        <v>75</v>
      </c>
      <c r="G88" s="216" t="s">
        <v>75</v>
      </c>
      <c r="H88" s="216" t="s">
        <v>75</v>
      </c>
      <c r="I88" s="216" t="s">
        <v>75</v>
      </c>
      <c r="J88" s="216" t="s">
        <v>75</v>
      </c>
      <c r="K88" s="216"/>
      <c r="L88" s="216"/>
      <c r="M88" s="216">
        <v>5</v>
      </c>
      <c r="N88" s="216" t="s">
        <v>230</v>
      </c>
      <c r="O88" s="218" t="s">
        <v>75</v>
      </c>
      <c r="P88" s="216" t="s">
        <v>75</v>
      </c>
      <c r="Q88" s="216" t="s">
        <v>75</v>
      </c>
      <c r="R88" s="216" t="s">
        <v>75</v>
      </c>
      <c r="S88" s="216" t="s">
        <v>75</v>
      </c>
      <c r="T88" s="500"/>
      <c r="U88" s="295"/>
      <c r="V88" s="216" t="s">
        <v>230</v>
      </c>
      <c r="W88" s="216" t="s">
        <v>230</v>
      </c>
      <c r="X88" s="200" t="s">
        <v>75</v>
      </c>
      <c r="Y88" s="213" t="s">
        <v>75</v>
      </c>
      <c r="Z88" s="213" t="s">
        <v>75</v>
      </c>
      <c r="AA88" s="213" t="s">
        <v>75</v>
      </c>
      <c r="AB88" s="213" t="s">
        <v>75</v>
      </c>
      <c r="AC88" s="500"/>
      <c r="AI88" s="184"/>
    </row>
    <row r="89" spans="1:35" s="189" customFormat="1" ht="16.2" customHeight="1" x14ac:dyDescent="0.25">
      <c r="A89" s="284"/>
      <c r="B89" s="217" t="s">
        <v>370</v>
      </c>
      <c r="C89" s="217" t="s">
        <v>371</v>
      </c>
      <c r="D89" s="216" t="s">
        <v>75</v>
      </c>
      <c r="E89" s="216" t="s">
        <v>75</v>
      </c>
      <c r="F89" s="218" t="s">
        <v>230</v>
      </c>
      <c r="G89" s="216" t="s">
        <v>230</v>
      </c>
      <c r="H89" s="216" t="s">
        <v>75</v>
      </c>
      <c r="I89" s="216" t="s">
        <v>75</v>
      </c>
      <c r="J89" s="216" t="s">
        <v>75</v>
      </c>
      <c r="K89" s="216"/>
      <c r="L89" s="216"/>
      <c r="M89" s="216" t="s">
        <v>75</v>
      </c>
      <c r="N89" s="216" t="s">
        <v>75</v>
      </c>
      <c r="O89" s="218" t="s">
        <v>230</v>
      </c>
      <c r="P89" s="216" t="s">
        <v>230</v>
      </c>
      <c r="Q89" s="216" t="s">
        <v>75</v>
      </c>
      <c r="R89" s="216" t="s">
        <v>75</v>
      </c>
      <c r="S89" s="216" t="s">
        <v>75</v>
      </c>
      <c r="T89" s="500"/>
      <c r="U89" s="295"/>
      <c r="V89" s="216" t="s">
        <v>75</v>
      </c>
      <c r="W89" s="216" t="s">
        <v>75</v>
      </c>
      <c r="X89" s="200" t="s">
        <v>230</v>
      </c>
      <c r="Y89" s="213" t="s">
        <v>75</v>
      </c>
      <c r="Z89" s="213" t="s">
        <v>75</v>
      </c>
      <c r="AA89" s="213" t="s">
        <v>75</v>
      </c>
      <c r="AB89" s="213" t="s">
        <v>75</v>
      </c>
      <c r="AC89" s="500"/>
      <c r="AI89" s="184"/>
    </row>
    <row r="90" spans="1:35" s="189" customFormat="1" ht="16.2" customHeight="1" x14ac:dyDescent="0.25">
      <c r="A90" s="284"/>
      <c r="B90" s="217" t="s">
        <v>372</v>
      </c>
      <c r="C90" s="217" t="s">
        <v>373</v>
      </c>
      <c r="D90" s="216" t="s">
        <v>75</v>
      </c>
      <c r="E90" s="216" t="s">
        <v>75</v>
      </c>
      <c r="F90" s="218" t="s">
        <v>230</v>
      </c>
      <c r="G90" s="216" t="s">
        <v>230</v>
      </c>
      <c r="H90" s="216" t="s">
        <v>75</v>
      </c>
      <c r="I90" s="216" t="s">
        <v>75</v>
      </c>
      <c r="J90" s="216" t="s">
        <v>75</v>
      </c>
      <c r="K90" s="216"/>
      <c r="L90" s="216"/>
      <c r="M90" s="216" t="s">
        <v>75</v>
      </c>
      <c r="N90" s="216" t="s">
        <v>75</v>
      </c>
      <c r="O90" s="218" t="s">
        <v>230</v>
      </c>
      <c r="P90" s="216" t="s">
        <v>230</v>
      </c>
      <c r="Q90" s="216" t="s">
        <v>75</v>
      </c>
      <c r="R90" s="216" t="s">
        <v>75</v>
      </c>
      <c r="S90" s="216" t="s">
        <v>75</v>
      </c>
      <c r="T90" s="500"/>
      <c r="U90" s="295"/>
      <c r="V90" s="216" t="s">
        <v>75</v>
      </c>
      <c r="W90" s="216" t="s">
        <v>75</v>
      </c>
      <c r="X90" s="200" t="s">
        <v>230</v>
      </c>
      <c r="Y90" s="213" t="s">
        <v>75</v>
      </c>
      <c r="Z90" s="213" t="s">
        <v>75</v>
      </c>
      <c r="AA90" s="213" t="s">
        <v>75</v>
      </c>
      <c r="AB90" s="213" t="s">
        <v>75</v>
      </c>
      <c r="AC90" s="500"/>
      <c r="AI90" s="184"/>
    </row>
    <row r="91" spans="1:35" s="189" customFormat="1" ht="16.2" customHeight="1" x14ac:dyDescent="0.25">
      <c r="A91" s="284"/>
      <c r="B91" s="217" t="s">
        <v>374</v>
      </c>
      <c r="C91" s="217" t="s">
        <v>375</v>
      </c>
      <c r="D91" s="216" t="s">
        <v>230</v>
      </c>
      <c r="E91" s="216" t="s">
        <v>230</v>
      </c>
      <c r="F91" s="218" t="s">
        <v>230</v>
      </c>
      <c r="G91" s="216">
        <v>35</v>
      </c>
      <c r="H91" s="216" t="s">
        <v>75</v>
      </c>
      <c r="I91" s="216" t="s">
        <v>75</v>
      </c>
      <c r="J91" s="216" t="s">
        <v>75</v>
      </c>
      <c r="K91" s="216"/>
      <c r="L91" s="216"/>
      <c r="M91" s="216" t="s">
        <v>230</v>
      </c>
      <c r="N91" s="216" t="s">
        <v>230</v>
      </c>
      <c r="O91" s="218" t="s">
        <v>230</v>
      </c>
      <c r="P91" s="216">
        <v>35</v>
      </c>
      <c r="Q91" s="216" t="s">
        <v>75</v>
      </c>
      <c r="R91" s="216" t="s">
        <v>75</v>
      </c>
      <c r="S91" s="216" t="s">
        <v>75</v>
      </c>
      <c r="T91" s="500"/>
      <c r="U91" s="295"/>
      <c r="V91" s="216" t="s">
        <v>230</v>
      </c>
      <c r="W91" s="216" t="s">
        <v>230</v>
      </c>
      <c r="X91" s="200" t="s">
        <v>230</v>
      </c>
      <c r="Y91" s="213" t="s">
        <v>75</v>
      </c>
      <c r="Z91" s="213" t="s">
        <v>75</v>
      </c>
      <c r="AA91" s="213" t="s">
        <v>75</v>
      </c>
      <c r="AB91" s="213" t="s">
        <v>75</v>
      </c>
      <c r="AC91" s="500"/>
      <c r="AI91" s="184"/>
    </row>
    <row r="92" spans="1:35" s="189" customFormat="1" ht="16.2" customHeight="1" x14ac:dyDescent="0.25">
      <c r="A92" s="284"/>
      <c r="B92" s="217" t="s">
        <v>376</v>
      </c>
      <c r="C92" s="217" t="s">
        <v>377</v>
      </c>
      <c r="D92" s="216" t="s">
        <v>75</v>
      </c>
      <c r="E92" s="216" t="s">
        <v>75</v>
      </c>
      <c r="F92" s="218" t="s">
        <v>230</v>
      </c>
      <c r="G92" s="216" t="s">
        <v>230</v>
      </c>
      <c r="H92" s="216" t="s">
        <v>75</v>
      </c>
      <c r="I92" s="216" t="s">
        <v>75</v>
      </c>
      <c r="J92" s="216" t="s">
        <v>75</v>
      </c>
      <c r="K92" s="216"/>
      <c r="L92" s="216"/>
      <c r="M92" s="216" t="s">
        <v>75</v>
      </c>
      <c r="N92" s="216" t="s">
        <v>75</v>
      </c>
      <c r="O92" s="218" t="s">
        <v>230</v>
      </c>
      <c r="P92" s="216" t="s">
        <v>230</v>
      </c>
      <c r="Q92" s="216" t="s">
        <v>75</v>
      </c>
      <c r="R92" s="216" t="s">
        <v>75</v>
      </c>
      <c r="S92" s="216" t="s">
        <v>75</v>
      </c>
      <c r="T92" s="500"/>
      <c r="U92" s="295"/>
      <c r="V92" s="216" t="s">
        <v>75</v>
      </c>
      <c r="W92" s="216" t="s">
        <v>75</v>
      </c>
      <c r="X92" s="200" t="s">
        <v>230</v>
      </c>
      <c r="Y92" s="216" t="s">
        <v>75</v>
      </c>
      <c r="Z92" s="216" t="s">
        <v>75</v>
      </c>
      <c r="AA92" s="213" t="s">
        <v>75</v>
      </c>
      <c r="AB92" s="213" t="s">
        <v>75</v>
      </c>
      <c r="AC92" s="500"/>
      <c r="AI92" s="184"/>
    </row>
    <row r="93" spans="1:35" s="189" customFormat="1" ht="16.2" customHeight="1" x14ac:dyDescent="0.25">
      <c r="A93" s="284"/>
      <c r="B93" s="217" t="s">
        <v>378</v>
      </c>
      <c r="C93" s="217" t="s">
        <v>379</v>
      </c>
      <c r="D93" s="216" t="s">
        <v>230</v>
      </c>
      <c r="E93" s="216" t="s">
        <v>230</v>
      </c>
      <c r="F93" s="218" t="s">
        <v>230</v>
      </c>
      <c r="G93" s="216" t="s">
        <v>230</v>
      </c>
      <c r="H93" s="216" t="s">
        <v>75</v>
      </c>
      <c r="I93" s="216" t="s">
        <v>75</v>
      </c>
      <c r="J93" s="216" t="s">
        <v>75</v>
      </c>
      <c r="K93" s="216"/>
      <c r="L93" s="216"/>
      <c r="M93" s="216" t="s">
        <v>230</v>
      </c>
      <c r="N93" s="216" t="s">
        <v>230</v>
      </c>
      <c r="O93" s="218" t="s">
        <v>230</v>
      </c>
      <c r="P93" s="216" t="s">
        <v>230</v>
      </c>
      <c r="Q93" s="216" t="s">
        <v>75</v>
      </c>
      <c r="R93" s="216" t="s">
        <v>75</v>
      </c>
      <c r="S93" s="216" t="s">
        <v>75</v>
      </c>
      <c r="T93" s="500"/>
      <c r="U93" s="295"/>
      <c r="V93" s="216" t="s">
        <v>230</v>
      </c>
      <c r="W93" s="216" t="s">
        <v>230</v>
      </c>
      <c r="X93" s="200" t="s">
        <v>230</v>
      </c>
      <c r="Y93" s="216" t="s">
        <v>230</v>
      </c>
      <c r="Z93" s="216" t="s">
        <v>75</v>
      </c>
      <c r="AA93" s="213" t="s">
        <v>75</v>
      </c>
      <c r="AB93" s="213" t="s">
        <v>75</v>
      </c>
      <c r="AC93" s="500"/>
      <c r="AI93" s="184"/>
    </row>
    <row r="94" spans="1:35" s="189" customFormat="1" ht="16.2" customHeight="1" x14ac:dyDescent="0.25">
      <c r="A94" s="284"/>
      <c r="B94" s="217" t="s">
        <v>380</v>
      </c>
      <c r="C94" s="217" t="s">
        <v>381</v>
      </c>
      <c r="D94" s="216" t="s">
        <v>230</v>
      </c>
      <c r="E94" s="216" t="s">
        <v>230</v>
      </c>
      <c r="F94" s="218" t="s">
        <v>230</v>
      </c>
      <c r="G94" s="216" t="s">
        <v>230</v>
      </c>
      <c r="H94" s="216" t="s">
        <v>75</v>
      </c>
      <c r="I94" s="216" t="s">
        <v>75</v>
      </c>
      <c r="J94" s="216" t="s">
        <v>75</v>
      </c>
      <c r="K94" s="216"/>
      <c r="L94" s="216"/>
      <c r="M94" s="216" t="s">
        <v>230</v>
      </c>
      <c r="N94" s="216" t="s">
        <v>230</v>
      </c>
      <c r="O94" s="218" t="s">
        <v>230</v>
      </c>
      <c r="P94" s="216" t="s">
        <v>230</v>
      </c>
      <c r="Q94" s="216" t="s">
        <v>75</v>
      </c>
      <c r="R94" s="216" t="s">
        <v>75</v>
      </c>
      <c r="S94" s="216" t="s">
        <v>75</v>
      </c>
      <c r="T94" s="500"/>
      <c r="U94" s="295"/>
      <c r="V94" s="216" t="s">
        <v>230</v>
      </c>
      <c r="W94" s="216" t="s">
        <v>230</v>
      </c>
      <c r="X94" s="200" t="s">
        <v>230</v>
      </c>
      <c r="Y94" s="216" t="s">
        <v>75</v>
      </c>
      <c r="Z94" s="216" t="s">
        <v>75</v>
      </c>
      <c r="AA94" s="213" t="s">
        <v>75</v>
      </c>
      <c r="AB94" s="213" t="s">
        <v>75</v>
      </c>
      <c r="AC94" s="500"/>
      <c r="AI94" s="184"/>
    </row>
    <row r="95" spans="1:35" s="189" customFormat="1" ht="16.2" customHeight="1" x14ac:dyDescent="0.25">
      <c r="A95" s="284"/>
      <c r="B95" s="217" t="s">
        <v>382</v>
      </c>
      <c r="C95" s="217" t="s">
        <v>383</v>
      </c>
      <c r="D95" s="216" t="s">
        <v>75</v>
      </c>
      <c r="E95" s="216" t="s">
        <v>75</v>
      </c>
      <c r="F95" s="218" t="s">
        <v>75</v>
      </c>
      <c r="G95" s="216" t="s">
        <v>230</v>
      </c>
      <c r="H95" s="216" t="s">
        <v>75</v>
      </c>
      <c r="I95" s="216" t="s">
        <v>75</v>
      </c>
      <c r="J95" s="216" t="s">
        <v>75</v>
      </c>
      <c r="K95" s="216"/>
      <c r="L95" s="216"/>
      <c r="M95" s="216" t="s">
        <v>75</v>
      </c>
      <c r="N95" s="216" t="s">
        <v>75</v>
      </c>
      <c r="O95" s="218" t="s">
        <v>75</v>
      </c>
      <c r="P95" s="216" t="s">
        <v>230</v>
      </c>
      <c r="Q95" s="216" t="s">
        <v>75</v>
      </c>
      <c r="R95" s="216" t="s">
        <v>75</v>
      </c>
      <c r="S95" s="216" t="s">
        <v>75</v>
      </c>
      <c r="T95" s="500"/>
      <c r="U95" s="295"/>
      <c r="V95" s="216" t="s">
        <v>75</v>
      </c>
      <c r="W95" s="216" t="s">
        <v>75</v>
      </c>
      <c r="X95" s="218" t="s">
        <v>75</v>
      </c>
      <c r="Y95" s="216" t="s">
        <v>75</v>
      </c>
      <c r="Z95" s="216" t="s">
        <v>75</v>
      </c>
      <c r="AA95" s="213" t="s">
        <v>75</v>
      </c>
      <c r="AB95" s="213" t="s">
        <v>75</v>
      </c>
      <c r="AC95" s="500"/>
      <c r="AI95" s="184"/>
    </row>
    <row r="96" spans="1:35" s="189" customFormat="1" ht="16.2" customHeight="1" x14ac:dyDescent="0.25">
      <c r="A96" s="284"/>
      <c r="B96" s="217" t="s">
        <v>384</v>
      </c>
      <c r="C96" s="217" t="s">
        <v>385</v>
      </c>
      <c r="D96" s="216" t="s">
        <v>230</v>
      </c>
      <c r="E96" s="216" t="s">
        <v>230</v>
      </c>
      <c r="F96" s="218" t="s">
        <v>230</v>
      </c>
      <c r="G96" s="216">
        <v>40</v>
      </c>
      <c r="H96" s="216" t="s">
        <v>75</v>
      </c>
      <c r="I96" s="216" t="s">
        <v>75</v>
      </c>
      <c r="J96" s="216" t="s">
        <v>75</v>
      </c>
      <c r="K96" s="216"/>
      <c r="L96" s="216"/>
      <c r="M96" s="216" t="s">
        <v>230</v>
      </c>
      <c r="N96" s="216" t="s">
        <v>230</v>
      </c>
      <c r="O96" s="218" t="s">
        <v>230</v>
      </c>
      <c r="P96" s="216">
        <v>40</v>
      </c>
      <c r="Q96" s="216" t="s">
        <v>75</v>
      </c>
      <c r="R96" s="216" t="s">
        <v>75</v>
      </c>
      <c r="S96" s="216" t="s">
        <v>75</v>
      </c>
      <c r="T96" s="500"/>
      <c r="U96" s="295"/>
      <c r="V96" s="216" t="s">
        <v>230</v>
      </c>
      <c r="W96" s="216" t="s">
        <v>230</v>
      </c>
      <c r="X96" s="200" t="s">
        <v>230</v>
      </c>
      <c r="Y96" s="213" t="s">
        <v>75</v>
      </c>
      <c r="Z96" s="213" t="s">
        <v>75</v>
      </c>
      <c r="AA96" s="213" t="s">
        <v>75</v>
      </c>
      <c r="AB96" s="213" t="s">
        <v>75</v>
      </c>
      <c r="AC96" s="500"/>
      <c r="AI96" s="184"/>
    </row>
    <row r="97" spans="1:35" s="189" customFormat="1" ht="16.2" customHeight="1" x14ac:dyDescent="0.25">
      <c r="A97" s="284"/>
      <c r="B97" s="217" t="s">
        <v>386</v>
      </c>
      <c r="C97" s="217" t="s">
        <v>387</v>
      </c>
      <c r="D97" s="216" t="s">
        <v>230</v>
      </c>
      <c r="E97" s="216" t="s">
        <v>230</v>
      </c>
      <c r="F97" s="218" t="s">
        <v>230</v>
      </c>
      <c r="G97" s="216" t="s">
        <v>230</v>
      </c>
      <c r="H97" s="216" t="s">
        <v>75</v>
      </c>
      <c r="I97" s="216" t="s">
        <v>75</v>
      </c>
      <c r="J97" s="216" t="s">
        <v>75</v>
      </c>
      <c r="K97" s="216"/>
      <c r="L97" s="216"/>
      <c r="M97" s="216" t="s">
        <v>230</v>
      </c>
      <c r="N97" s="216" t="s">
        <v>230</v>
      </c>
      <c r="O97" s="218" t="s">
        <v>230</v>
      </c>
      <c r="P97" s="216" t="s">
        <v>230</v>
      </c>
      <c r="Q97" s="216" t="s">
        <v>75</v>
      </c>
      <c r="R97" s="216" t="s">
        <v>75</v>
      </c>
      <c r="S97" s="216" t="s">
        <v>75</v>
      </c>
      <c r="T97" s="500"/>
      <c r="U97" s="295"/>
      <c r="V97" s="216" t="s">
        <v>230</v>
      </c>
      <c r="W97" s="216" t="s">
        <v>230</v>
      </c>
      <c r="X97" s="200" t="s">
        <v>230</v>
      </c>
      <c r="Y97" s="213" t="s">
        <v>75</v>
      </c>
      <c r="Z97" s="213" t="s">
        <v>75</v>
      </c>
      <c r="AA97" s="213" t="s">
        <v>75</v>
      </c>
      <c r="AB97" s="213" t="s">
        <v>75</v>
      </c>
      <c r="AC97" s="500"/>
      <c r="AI97" s="184"/>
    </row>
    <row r="98" spans="1:35" s="189" customFormat="1" ht="16.2" customHeight="1" x14ac:dyDescent="0.25">
      <c r="A98" s="284"/>
      <c r="B98" s="217" t="s">
        <v>388</v>
      </c>
      <c r="C98" s="217" t="s">
        <v>389</v>
      </c>
      <c r="D98" s="216" t="s">
        <v>75</v>
      </c>
      <c r="E98" s="216" t="s">
        <v>75</v>
      </c>
      <c r="F98" s="218" t="s">
        <v>230</v>
      </c>
      <c r="G98" s="216">
        <v>20</v>
      </c>
      <c r="H98" s="216" t="s">
        <v>75</v>
      </c>
      <c r="I98" s="216" t="s">
        <v>75</v>
      </c>
      <c r="J98" s="216" t="s">
        <v>75</v>
      </c>
      <c r="K98" s="216"/>
      <c r="L98" s="216"/>
      <c r="M98" s="216" t="s">
        <v>75</v>
      </c>
      <c r="N98" s="216" t="s">
        <v>75</v>
      </c>
      <c r="O98" s="218" t="s">
        <v>230</v>
      </c>
      <c r="P98" s="216">
        <v>20</v>
      </c>
      <c r="Q98" s="216" t="s">
        <v>75</v>
      </c>
      <c r="R98" s="216" t="s">
        <v>75</v>
      </c>
      <c r="S98" s="216" t="s">
        <v>75</v>
      </c>
      <c r="T98" s="500"/>
      <c r="U98" s="295"/>
      <c r="V98" s="216" t="s">
        <v>75</v>
      </c>
      <c r="W98" s="216" t="s">
        <v>75</v>
      </c>
      <c r="X98" s="200" t="s">
        <v>230</v>
      </c>
      <c r="Y98" s="213" t="s">
        <v>230</v>
      </c>
      <c r="Z98" s="213" t="s">
        <v>75</v>
      </c>
      <c r="AA98" s="213" t="s">
        <v>75</v>
      </c>
      <c r="AB98" s="213" t="s">
        <v>75</v>
      </c>
      <c r="AC98" s="500"/>
      <c r="AI98" s="184"/>
    </row>
    <row r="99" spans="1:35" s="189" customFormat="1" ht="16.2" customHeight="1" x14ac:dyDescent="0.25">
      <c r="A99" s="284"/>
      <c r="B99" s="217" t="s">
        <v>390</v>
      </c>
      <c r="C99" s="217" t="s">
        <v>391</v>
      </c>
      <c r="D99" s="216" t="s">
        <v>75</v>
      </c>
      <c r="E99" s="216" t="s">
        <v>75</v>
      </c>
      <c r="F99" s="218" t="s">
        <v>75</v>
      </c>
      <c r="G99" s="216" t="s">
        <v>230</v>
      </c>
      <c r="H99" s="216" t="s">
        <v>75</v>
      </c>
      <c r="I99" s="216" t="s">
        <v>75</v>
      </c>
      <c r="J99" s="216" t="s">
        <v>75</v>
      </c>
      <c r="K99" s="216"/>
      <c r="L99" s="216"/>
      <c r="M99" s="216" t="s">
        <v>75</v>
      </c>
      <c r="N99" s="216" t="s">
        <v>75</v>
      </c>
      <c r="O99" s="218" t="s">
        <v>75</v>
      </c>
      <c r="P99" s="216" t="s">
        <v>230</v>
      </c>
      <c r="Q99" s="216" t="s">
        <v>75</v>
      </c>
      <c r="R99" s="216" t="s">
        <v>75</v>
      </c>
      <c r="S99" s="216" t="s">
        <v>75</v>
      </c>
      <c r="T99" s="500"/>
      <c r="U99" s="295"/>
      <c r="V99" s="216" t="s">
        <v>75</v>
      </c>
      <c r="W99" s="216" t="s">
        <v>75</v>
      </c>
      <c r="X99" s="218" t="s">
        <v>75</v>
      </c>
      <c r="Y99" s="216" t="s">
        <v>75</v>
      </c>
      <c r="Z99" s="216" t="s">
        <v>75</v>
      </c>
      <c r="AA99" s="213" t="s">
        <v>75</v>
      </c>
      <c r="AB99" s="213" t="s">
        <v>75</v>
      </c>
      <c r="AC99" s="500"/>
      <c r="AI99" s="184"/>
    </row>
    <row r="100" spans="1:35" s="189" customFormat="1" ht="16.2" customHeight="1" x14ac:dyDescent="0.25">
      <c r="A100" s="284"/>
      <c r="B100" s="217" t="s">
        <v>392</v>
      </c>
      <c r="C100" s="217" t="s">
        <v>393</v>
      </c>
      <c r="D100" s="216" t="s">
        <v>230</v>
      </c>
      <c r="E100" s="216" t="s">
        <v>230</v>
      </c>
      <c r="F100" s="218" t="s">
        <v>230</v>
      </c>
      <c r="G100" s="216" t="s">
        <v>230</v>
      </c>
      <c r="H100" s="216" t="s">
        <v>75</v>
      </c>
      <c r="I100" s="216" t="s">
        <v>75</v>
      </c>
      <c r="J100" s="216" t="s">
        <v>75</v>
      </c>
      <c r="K100" s="216"/>
      <c r="L100" s="216"/>
      <c r="M100" s="216" t="s">
        <v>230</v>
      </c>
      <c r="N100" s="216" t="s">
        <v>230</v>
      </c>
      <c r="O100" s="218" t="s">
        <v>230</v>
      </c>
      <c r="P100" s="216" t="s">
        <v>230</v>
      </c>
      <c r="Q100" s="216" t="s">
        <v>75</v>
      </c>
      <c r="R100" s="216" t="s">
        <v>75</v>
      </c>
      <c r="S100" s="216" t="s">
        <v>75</v>
      </c>
      <c r="T100" s="500"/>
      <c r="U100" s="295"/>
      <c r="V100" s="216" t="s">
        <v>230</v>
      </c>
      <c r="W100" s="216" t="s">
        <v>230</v>
      </c>
      <c r="X100" s="200" t="s">
        <v>230</v>
      </c>
      <c r="Y100" s="213" t="s">
        <v>75</v>
      </c>
      <c r="Z100" s="213" t="s">
        <v>75</v>
      </c>
      <c r="AA100" s="213" t="s">
        <v>75</v>
      </c>
      <c r="AB100" s="213" t="s">
        <v>75</v>
      </c>
      <c r="AC100" s="500"/>
      <c r="AI100" s="184"/>
    </row>
    <row r="101" spans="1:35" s="189" customFormat="1" ht="16.2" customHeight="1" x14ac:dyDescent="0.25">
      <c r="A101" s="284"/>
      <c r="B101" s="217" t="s">
        <v>394</v>
      </c>
      <c r="C101" s="217" t="s">
        <v>395</v>
      </c>
      <c r="D101" s="216" t="s">
        <v>230</v>
      </c>
      <c r="E101" s="216" t="s">
        <v>230</v>
      </c>
      <c r="F101" s="200" t="s">
        <v>75</v>
      </c>
      <c r="G101" s="213" t="s">
        <v>75</v>
      </c>
      <c r="H101" s="213" t="s">
        <v>75</v>
      </c>
      <c r="I101" s="216" t="s">
        <v>75</v>
      </c>
      <c r="J101" s="216" t="s">
        <v>75</v>
      </c>
      <c r="K101" s="216"/>
      <c r="L101" s="188"/>
      <c r="M101" s="216" t="s">
        <v>230</v>
      </c>
      <c r="N101" s="216" t="s">
        <v>230</v>
      </c>
      <c r="O101" s="218" t="s">
        <v>75</v>
      </c>
      <c r="P101" s="216" t="s">
        <v>75</v>
      </c>
      <c r="Q101" s="216" t="s">
        <v>75</v>
      </c>
      <c r="R101" s="216" t="s">
        <v>75</v>
      </c>
      <c r="S101" s="216" t="s">
        <v>75</v>
      </c>
      <c r="T101" s="500"/>
      <c r="U101" s="188"/>
      <c r="V101" s="216" t="s">
        <v>230</v>
      </c>
      <c r="W101" s="216" t="s">
        <v>230</v>
      </c>
      <c r="X101" s="200" t="s">
        <v>75</v>
      </c>
      <c r="Y101" s="213" t="s">
        <v>75</v>
      </c>
      <c r="Z101" s="213" t="s">
        <v>75</v>
      </c>
      <c r="AA101" s="213" t="s">
        <v>75</v>
      </c>
      <c r="AB101" s="213" t="s">
        <v>75</v>
      </c>
      <c r="AC101" s="500"/>
      <c r="AI101" s="184"/>
    </row>
    <row r="102" spans="1:35" s="189" customFormat="1" ht="16.2" customHeight="1" x14ac:dyDescent="0.25">
      <c r="A102" s="284"/>
      <c r="B102" s="217" t="s">
        <v>396</v>
      </c>
      <c r="C102" s="217" t="s">
        <v>397</v>
      </c>
      <c r="D102" s="216" t="s">
        <v>75</v>
      </c>
      <c r="E102" s="216" t="s">
        <v>75</v>
      </c>
      <c r="F102" s="218" t="s">
        <v>230</v>
      </c>
      <c r="G102" s="216" t="s">
        <v>230</v>
      </c>
      <c r="H102" s="216" t="s">
        <v>75</v>
      </c>
      <c r="I102" s="216" t="s">
        <v>75</v>
      </c>
      <c r="J102" s="216" t="s">
        <v>75</v>
      </c>
      <c r="K102" s="216"/>
      <c r="L102" s="216"/>
      <c r="M102" s="216" t="s">
        <v>75</v>
      </c>
      <c r="N102" s="216" t="s">
        <v>75</v>
      </c>
      <c r="O102" s="218" t="s">
        <v>230</v>
      </c>
      <c r="P102" s="216" t="s">
        <v>230</v>
      </c>
      <c r="Q102" s="216" t="s">
        <v>75</v>
      </c>
      <c r="R102" s="216" t="s">
        <v>75</v>
      </c>
      <c r="S102" s="216" t="s">
        <v>75</v>
      </c>
      <c r="T102" s="500"/>
      <c r="U102" s="213"/>
      <c r="V102" s="216" t="s">
        <v>75</v>
      </c>
      <c r="W102" s="216" t="s">
        <v>75</v>
      </c>
      <c r="X102" s="200" t="s">
        <v>230</v>
      </c>
      <c r="Y102" s="216" t="s">
        <v>75</v>
      </c>
      <c r="Z102" s="216" t="s">
        <v>75</v>
      </c>
      <c r="AA102" s="213" t="s">
        <v>75</v>
      </c>
      <c r="AB102" s="213" t="s">
        <v>75</v>
      </c>
      <c r="AC102" s="500"/>
      <c r="AI102" s="184"/>
    </row>
    <row r="103" spans="1:35" s="189" customFormat="1" ht="16.2" customHeight="1" x14ac:dyDescent="0.25">
      <c r="A103" s="284"/>
      <c r="B103" s="217" t="s">
        <v>398</v>
      </c>
      <c r="C103" s="217" t="s">
        <v>399</v>
      </c>
      <c r="D103" s="216">
        <v>10</v>
      </c>
      <c r="E103" s="216" t="s">
        <v>230</v>
      </c>
      <c r="F103" s="218" t="s">
        <v>230</v>
      </c>
      <c r="G103" s="216" t="s">
        <v>75</v>
      </c>
      <c r="H103" s="216" t="s">
        <v>75</v>
      </c>
      <c r="I103" s="216" t="s">
        <v>75</v>
      </c>
      <c r="J103" s="216" t="s">
        <v>75</v>
      </c>
      <c r="K103" s="216"/>
      <c r="L103" s="216"/>
      <c r="M103" s="216">
        <v>10</v>
      </c>
      <c r="N103" s="216" t="s">
        <v>230</v>
      </c>
      <c r="O103" s="218" t="s">
        <v>230</v>
      </c>
      <c r="P103" s="216" t="s">
        <v>75</v>
      </c>
      <c r="Q103" s="216" t="s">
        <v>75</v>
      </c>
      <c r="R103" s="216" t="s">
        <v>75</v>
      </c>
      <c r="S103" s="216" t="s">
        <v>75</v>
      </c>
      <c r="T103" s="500"/>
      <c r="U103" s="295"/>
      <c r="V103" s="216" t="s">
        <v>230</v>
      </c>
      <c r="W103" s="216" t="s">
        <v>230</v>
      </c>
      <c r="X103" s="200" t="s">
        <v>230</v>
      </c>
      <c r="Y103" s="213" t="s">
        <v>75</v>
      </c>
      <c r="Z103" s="213" t="s">
        <v>75</v>
      </c>
      <c r="AA103" s="213" t="s">
        <v>75</v>
      </c>
      <c r="AB103" s="213" t="s">
        <v>75</v>
      </c>
      <c r="AC103" s="500"/>
      <c r="AI103" s="184"/>
    </row>
    <row r="104" spans="1:35" s="189" customFormat="1" ht="16.2" customHeight="1" x14ac:dyDescent="0.25">
      <c r="A104" s="284"/>
      <c r="B104" s="217" t="s">
        <v>400</v>
      </c>
      <c r="C104" s="217" t="s">
        <v>401</v>
      </c>
      <c r="D104" s="216" t="s">
        <v>75</v>
      </c>
      <c r="E104" s="216" t="s">
        <v>75</v>
      </c>
      <c r="F104" s="218" t="s">
        <v>230</v>
      </c>
      <c r="G104" s="216" t="s">
        <v>230</v>
      </c>
      <c r="H104" s="216" t="s">
        <v>75</v>
      </c>
      <c r="I104" s="216" t="s">
        <v>75</v>
      </c>
      <c r="J104" s="216" t="s">
        <v>75</v>
      </c>
      <c r="K104" s="216"/>
      <c r="L104" s="216"/>
      <c r="M104" s="216" t="s">
        <v>75</v>
      </c>
      <c r="N104" s="216" t="s">
        <v>75</v>
      </c>
      <c r="O104" s="218" t="s">
        <v>230</v>
      </c>
      <c r="P104" s="216" t="s">
        <v>230</v>
      </c>
      <c r="Q104" s="216" t="s">
        <v>75</v>
      </c>
      <c r="R104" s="216" t="s">
        <v>75</v>
      </c>
      <c r="S104" s="216" t="s">
        <v>75</v>
      </c>
      <c r="T104" s="500"/>
      <c r="U104" s="213"/>
      <c r="V104" s="216" t="s">
        <v>75</v>
      </c>
      <c r="W104" s="216" t="s">
        <v>75</v>
      </c>
      <c r="X104" s="200" t="s">
        <v>230</v>
      </c>
      <c r="Y104" s="216" t="s">
        <v>75</v>
      </c>
      <c r="Z104" s="216" t="s">
        <v>75</v>
      </c>
      <c r="AA104" s="213" t="s">
        <v>75</v>
      </c>
      <c r="AB104" s="213" t="s">
        <v>75</v>
      </c>
      <c r="AC104" s="500"/>
      <c r="AI104" s="184"/>
    </row>
    <row r="105" spans="1:35" s="189" customFormat="1" ht="16.2" customHeight="1" x14ac:dyDescent="0.25">
      <c r="A105" s="284"/>
      <c r="B105" s="217" t="s">
        <v>402</v>
      </c>
      <c r="C105" s="217" t="s">
        <v>403</v>
      </c>
      <c r="D105" s="216" t="s">
        <v>75</v>
      </c>
      <c r="E105" s="216" t="s">
        <v>75</v>
      </c>
      <c r="F105" s="218" t="s">
        <v>230</v>
      </c>
      <c r="G105" s="216" t="s">
        <v>230</v>
      </c>
      <c r="H105" s="216" t="s">
        <v>230</v>
      </c>
      <c r="I105" s="216" t="s">
        <v>75</v>
      </c>
      <c r="J105" s="216" t="s">
        <v>75</v>
      </c>
      <c r="K105" s="216"/>
      <c r="L105" s="216"/>
      <c r="M105" s="216" t="s">
        <v>75</v>
      </c>
      <c r="N105" s="216" t="s">
        <v>75</v>
      </c>
      <c r="O105" s="218" t="s">
        <v>230</v>
      </c>
      <c r="P105" s="216" t="s">
        <v>230</v>
      </c>
      <c r="Q105" s="216" t="s">
        <v>230</v>
      </c>
      <c r="R105" s="216" t="s">
        <v>75</v>
      </c>
      <c r="S105" s="216" t="s">
        <v>75</v>
      </c>
      <c r="T105" s="500"/>
      <c r="U105" s="295"/>
      <c r="V105" s="216" t="s">
        <v>75</v>
      </c>
      <c r="W105" s="216" t="s">
        <v>75</v>
      </c>
      <c r="X105" s="200" t="s">
        <v>230</v>
      </c>
      <c r="Y105" s="213" t="s">
        <v>230</v>
      </c>
      <c r="Z105" s="213" t="s">
        <v>230</v>
      </c>
      <c r="AA105" s="213" t="s">
        <v>75</v>
      </c>
      <c r="AB105" s="213" t="s">
        <v>75</v>
      </c>
      <c r="AC105" s="500"/>
      <c r="AI105" s="184"/>
    </row>
    <row r="106" spans="1:35" s="189" customFormat="1" ht="16.2" customHeight="1" x14ac:dyDescent="0.25">
      <c r="A106" s="284"/>
      <c r="B106" s="217" t="s">
        <v>404</v>
      </c>
      <c r="C106" s="217" t="s">
        <v>405</v>
      </c>
      <c r="D106" s="216" t="s">
        <v>75</v>
      </c>
      <c r="E106" s="216" t="s">
        <v>75</v>
      </c>
      <c r="F106" s="218" t="s">
        <v>75</v>
      </c>
      <c r="G106" s="216" t="s">
        <v>230</v>
      </c>
      <c r="H106" s="216" t="s">
        <v>75</v>
      </c>
      <c r="I106" s="216" t="s">
        <v>75</v>
      </c>
      <c r="J106" s="216" t="s">
        <v>75</v>
      </c>
      <c r="K106" s="216"/>
      <c r="L106" s="216"/>
      <c r="M106" s="216" t="s">
        <v>75</v>
      </c>
      <c r="N106" s="216" t="s">
        <v>75</v>
      </c>
      <c r="O106" s="218" t="s">
        <v>75</v>
      </c>
      <c r="P106" s="216" t="s">
        <v>230</v>
      </c>
      <c r="Q106" s="216" t="s">
        <v>75</v>
      </c>
      <c r="R106" s="216" t="s">
        <v>75</v>
      </c>
      <c r="S106" s="216" t="s">
        <v>75</v>
      </c>
      <c r="T106" s="500"/>
      <c r="U106" s="295"/>
      <c r="V106" s="216" t="s">
        <v>75</v>
      </c>
      <c r="W106" s="216" t="s">
        <v>75</v>
      </c>
      <c r="X106" s="218" t="s">
        <v>75</v>
      </c>
      <c r="Y106" s="216" t="s">
        <v>75</v>
      </c>
      <c r="Z106" s="216" t="s">
        <v>75</v>
      </c>
      <c r="AA106" s="213" t="s">
        <v>75</v>
      </c>
      <c r="AB106" s="213" t="s">
        <v>75</v>
      </c>
      <c r="AC106" s="500"/>
      <c r="AI106" s="184"/>
    </row>
    <row r="107" spans="1:35" s="189" customFormat="1" ht="16.2" customHeight="1" x14ac:dyDescent="0.25">
      <c r="A107" s="284"/>
      <c r="B107" s="217" t="s">
        <v>406</v>
      </c>
      <c r="C107" s="217" t="s">
        <v>407</v>
      </c>
      <c r="D107" s="216" t="s">
        <v>75</v>
      </c>
      <c r="E107" s="216" t="s">
        <v>75</v>
      </c>
      <c r="F107" s="218" t="s">
        <v>75</v>
      </c>
      <c r="G107" s="216" t="s">
        <v>230</v>
      </c>
      <c r="H107" s="216" t="s">
        <v>75</v>
      </c>
      <c r="I107" s="216" t="s">
        <v>75</v>
      </c>
      <c r="J107" s="216" t="s">
        <v>75</v>
      </c>
      <c r="K107" s="216"/>
      <c r="L107" s="216"/>
      <c r="M107" s="216" t="s">
        <v>75</v>
      </c>
      <c r="N107" s="216" t="s">
        <v>75</v>
      </c>
      <c r="O107" s="218" t="s">
        <v>75</v>
      </c>
      <c r="P107" s="216" t="s">
        <v>230</v>
      </c>
      <c r="Q107" s="216" t="s">
        <v>75</v>
      </c>
      <c r="R107" s="216" t="s">
        <v>75</v>
      </c>
      <c r="S107" s="216" t="s">
        <v>75</v>
      </c>
      <c r="T107" s="500"/>
      <c r="U107" s="295"/>
      <c r="V107" s="216" t="s">
        <v>75</v>
      </c>
      <c r="W107" s="216" t="s">
        <v>75</v>
      </c>
      <c r="X107" s="218" t="s">
        <v>75</v>
      </c>
      <c r="Y107" s="216" t="s">
        <v>75</v>
      </c>
      <c r="Z107" s="216" t="s">
        <v>75</v>
      </c>
      <c r="AA107" s="213" t="s">
        <v>75</v>
      </c>
      <c r="AB107" s="213" t="s">
        <v>75</v>
      </c>
      <c r="AC107" s="500"/>
      <c r="AI107" s="184"/>
    </row>
    <row r="108" spans="1:35" s="189" customFormat="1" ht="16.2" customHeight="1" x14ac:dyDescent="0.25">
      <c r="A108" s="284"/>
      <c r="B108" s="217" t="s">
        <v>408</v>
      </c>
      <c r="C108" s="217" t="s">
        <v>409</v>
      </c>
      <c r="D108" s="216" t="s">
        <v>230</v>
      </c>
      <c r="E108" s="216" t="s">
        <v>230</v>
      </c>
      <c r="F108" s="218" t="s">
        <v>230</v>
      </c>
      <c r="G108" s="216" t="s">
        <v>230</v>
      </c>
      <c r="H108" s="216" t="s">
        <v>75</v>
      </c>
      <c r="I108" s="216" t="s">
        <v>75</v>
      </c>
      <c r="J108" s="216" t="s">
        <v>75</v>
      </c>
      <c r="K108" s="216"/>
      <c r="L108" s="216"/>
      <c r="M108" s="216" t="s">
        <v>230</v>
      </c>
      <c r="N108" s="216" t="s">
        <v>230</v>
      </c>
      <c r="O108" s="218" t="s">
        <v>230</v>
      </c>
      <c r="P108" s="216" t="s">
        <v>230</v>
      </c>
      <c r="Q108" s="216" t="s">
        <v>75</v>
      </c>
      <c r="R108" s="216" t="s">
        <v>75</v>
      </c>
      <c r="S108" s="216" t="s">
        <v>75</v>
      </c>
      <c r="T108" s="500"/>
      <c r="U108" s="295"/>
      <c r="V108" s="216" t="s">
        <v>230</v>
      </c>
      <c r="W108" s="216" t="s">
        <v>230</v>
      </c>
      <c r="X108" s="200" t="s">
        <v>230</v>
      </c>
      <c r="Y108" s="216" t="s">
        <v>75</v>
      </c>
      <c r="Z108" s="216" t="s">
        <v>75</v>
      </c>
      <c r="AA108" s="213" t="s">
        <v>75</v>
      </c>
      <c r="AB108" s="213" t="s">
        <v>75</v>
      </c>
      <c r="AC108" s="500"/>
      <c r="AI108" s="184"/>
    </row>
    <row r="109" spans="1:35" s="189" customFormat="1" ht="16.2" customHeight="1" x14ac:dyDescent="0.25">
      <c r="A109" s="284"/>
      <c r="B109" s="217" t="s">
        <v>410</v>
      </c>
      <c r="C109" s="217" t="s">
        <v>411</v>
      </c>
      <c r="D109" s="216" t="s">
        <v>230</v>
      </c>
      <c r="E109" s="216" t="s">
        <v>230</v>
      </c>
      <c r="F109" s="218" t="s">
        <v>230</v>
      </c>
      <c r="G109" s="216">
        <v>165</v>
      </c>
      <c r="H109" s="216" t="s">
        <v>75</v>
      </c>
      <c r="I109" s="216" t="s">
        <v>75</v>
      </c>
      <c r="J109" s="216" t="s">
        <v>75</v>
      </c>
      <c r="K109" s="216"/>
      <c r="L109" s="216"/>
      <c r="M109" s="216" t="s">
        <v>230</v>
      </c>
      <c r="N109" s="216" t="s">
        <v>230</v>
      </c>
      <c r="O109" s="218" t="s">
        <v>230</v>
      </c>
      <c r="P109" s="216">
        <v>165</v>
      </c>
      <c r="Q109" s="216" t="s">
        <v>75</v>
      </c>
      <c r="R109" s="216" t="s">
        <v>75</v>
      </c>
      <c r="S109" s="216" t="s">
        <v>75</v>
      </c>
      <c r="T109" s="500"/>
      <c r="U109" s="295"/>
      <c r="V109" s="216" t="s">
        <v>230</v>
      </c>
      <c r="W109" s="216" t="s">
        <v>230</v>
      </c>
      <c r="X109" s="200" t="s">
        <v>230</v>
      </c>
      <c r="Y109" s="216" t="s">
        <v>75</v>
      </c>
      <c r="Z109" s="216" t="s">
        <v>75</v>
      </c>
      <c r="AA109" s="213" t="s">
        <v>75</v>
      </c>
      <c r="AB109" s="213" t="s">
        <v>75</v>
      </c>
      <c r="AC109" s="500"/>
      <c r="AI109" s="184"/>
    </row>
    <row r="110" spans="1:35" s="189" customFormat="1" ht="16.2" customHeight="1" x14ac:dyDescent="0.25">
      <c r="A110" s="284"/>
      <c r="B110" s="217" t="s">
        <v>412</v>
      </c>
      <c r="C110" s="217" t="s">
        <v>413</v>
      </c>
      <c r="D110" s="216" t="s">
        <v>75</v>
      </c>
      <c r="E110" s="216" t="s">
        <v>75</v>
      </c>
      <c r="F110" s="218" t="s">
        <v>230</v>
      </c>
      <c r="G110" s="216">
        <v>15</v>
      </c>
      <c r="H110" s="216" t="s">
        <v>75</v>
      </c>
      <c r="I110" s="216" t="s">
        <v>75</v>
      </c>
      <c r="J110" s="216" t="s">
        <v>75</v>
      </c>
      <c r="K110" s="216"/>
      <c r="L110" s="213"/>
      <c r="M110" s="216" t="s">
        <v>75</v>
      </c>
      <c r="N110" s="216" t="s">
        <v>75</v>
      </c>
      <c r="O110" s="218" t="s">
        <v>230</v>
      </c>
      <c r="P110" s="216">
        <v>15</v>
      </c>
      <c r="Q110" s="216" t="s">
        <v>75</v>
      </c>
      <c r="R110" s="216" t="s">
        <v>75</v>
      </c>
      <c r="S110" s="216" t="s">
        <v>75</v>
      </c>
      <c r="T110" s="500"/>
      <c r="U110" s="295"/>
      <c r="V110" s="216" t="s">
        <v>75</v>
      </c>
      <c r="W110" s="216" t="s">
        <v>75</v>
      </c>
      <c r="X110" s="200" t="s">
        <v>230</v>
      </c>
      <c r="Y110" s="216" t="s">
        <v>75</v>
      </c>
      <c r="Z110" s="216" t="s">
        <v>75</v>
      </c>
      <c r="AA110" s="213" t="s">
        <v>75</v>
      </c>
      <c r="AB110" s="213" t="s">
        <v>75</v>
      </c>
      <c r="AC110" s="500"/>
      <c r="AI110" s="184"/>
    </row>
    <row r="111" spans="1:35" s="189" customFormat="1" ht="16.2" customHeight="1" x14ac:dyDescent="0.25">
      <c r="A111" s="284"/>
      <c r="B111" s="217" t="s">
        <v>414</v>
      </c>
      <c r="C111" s="217" t="s">
        <v>415</v>
      </c>
      <c r="D111" s="216" t="s">
        <v>230</v>
      </c>
      <c r="E111" s="216" t="s">
        <v>230</v>
      </c>
      <c r="F111" s="218" t="s">
        <v>230</v>
      </c>
      <c r="G111" s="216" t="s">
        <v>75</v>
      </c>
      <c r="H111" s="216" t="s">
        <v>75</v>
      </c>
      <c r="I111" s="216" t="s">
        <v>75</v>
      </c>
      <c r="J111" s="216" t="s">
        <v>75</v>
      </c>
      <c r="K111" s="216"/>
      <c r="L111" s="216"/>
      <c r="M111" s="216" t="s">
        <v>230</v>
      </c>
      <c r="N111" s="216" t="s">
        <v>230</v>
      </c>
      <c r="O111" s="218" t="s">
        <v>230</v>
      </c>
      <c r="P111" s="216" t="s">
        <v>75</v>
      </c>
      <c r="Q111" s="216" t="s">
        <v>75</v>
      </c>
      <c r="R111" s="216" t="s">
        <v>75</v>
      </c>
      <c r="S111" s="216" t="s">
        <v>75</v>
      </c>
      <c r="T111" s="500"/>
      <c r="U111" s="295"/>
      <c r="V111" s="216" t="s">
        <v>230</v>
      </c>
      <c r="W111" s="216" t="s">
        <v>230</v>
      </c>
      <c r="X111" s="200" t="s">
        <v>230</v>
      </c>
      <c r="Y111" s="213" t="s">
        <v>75</v>
      </c>
      <c r="Z111" s="213" t="s">
        <v>75</v>
      </c>
      <c r="AA111" s="213" t="s">
        <v>75</v>
      </c>
      <c r="AB111" s="213" t="s">
        <v>75</v>
      </c>
      <c r="AC111" s="500"/>
      <c r="AI111" s="184"/>
    </row>
    <row r="112" spans="1:35" s="189" customFormat="1" ht="16.2" customHeight="1" x14ac:dyDescent="0.25">
      <c r="A112" s="284"/>
      <c r="B112" s="217" t="s">
        <v>416</v>
      </c>
      <c r="C112" s="217" t="s">
        <v>417</v>
      </c>
      <c r="D112" s="216" t="s">
        <v>230</v>
      </c>
      <c r="E112" s="216" t="s">
        <v>230</v>
      </c>
      <c r="F112" s="218" t="s">
        <v>230</v>
      </c>
      <c r="G112" s="216" t="s">
        <v>230</v>
      </c>
      <c r="H112" s="216" t="s">
        <v>75</v>
      </c>
      <c r="I112" s="216" t="s">
        <v>75</v>
      </c>
      <c r="J112" s="216" t="s">
        <v>75</v>
      </c>
      <c r="K112" s="216"/>
      <c r="L112" s="216"/>
      <c r="M112" s="216" t="s">
        <v>230</v>
      </c>
      <c r="N112" s="216" t="s">
        <v>230</v>
      </c>
      <c r="O112" s="218" t="s">
        <v>230</v>
      </c>
      <c r="P112" s="216" t="s">
        <v>230</v>
      </c>
      <c r="Q112" s="216" t="s">
        <v>75</v>
      </c>
      <c r="R112" s="216" t="s">
        <v>75</v>
      </c>
      <c r="S112" s="216" t="s">
        <v>75</v>
      </c>
      <c r="T112" s="500"/>
      <c r="U112" s="295"/>
      <c r="V112" s="216" t="s">
        <v>230</v>
      </c>
      <c r="W112" s="216" t="s">
        <v>230</v>
      </c>
      <c r="X112" s="200" t="s">
        <v>230</v>
      </c>
      <c r="Y112" s="216" t="s">
        <v>75</v>
      </c>
      <c r="Z112" s="216" t="s">
        <v>75</v>
      </c>
      <c r="AA112" s="213" t="s">
        <v>75</v>
      </c>
      <c r="AB112" s="213" t="s">
        <v>75</v>
      </c>
      <c r="AC112" s="500"/>
      <c r="AI112" s="184"/>
    </row>
    <row r="113" spans="1:35" s="189" customFormat="1" ht="16.2" customHeight="1" x14ac:dyDescent="0.25">
      <c r="A113" s="284"/>
      <c r="B113" s="217" t="s">
        <v>418</v>
      </c>
      <c r="C113" s="219" t="s">
        <v>419</v>
      </c>
      <c r="D113" s="216" t="s">
        <v>75</v>
      </c>
      <c r="E113" s="216" t="s">
        <v>75</v>
      </c>
      <c r="F113" s="218">
        <v>5</v>
      </c>
      <c r="G113" s="216" t="s">
        <v>230</v>
      </c>
      <c r="H113" s="216" t="s">
        <v>75</v>
      </c>
      <c r="I113" s="216" t="s">
        <v>75</v>
      </c>
      <c r="J113" s="216" t="s">
        <v>75</v>
      </c>
      <c r="K113" s="216"/>
      <c r="L113" s="295"/>
      <c r="M113" s="216" t="s">
        <v>75</v>
      </c>
      <c r="N113" s="216" t="s">
        <v>75</v>
      </c>
      <c r="O113" s="218">
        <v>5</v>
      </c>
      <c r="P113" s="216" t="s">
        <v>230</v>
      </c>
      <c r="Q113" s="216" t="s">
        <v>75</v>
      </c>
      <c r="R113" s="216" t="s">
        <v>75</v>
      </c>
      <c r="S113" s="216" t="s">
        <v>75</v>
      </c>
      <c r="T113" s="500"/>
      <c r="U113" s="295"/>
      <c r="V113" s="216" t="s">
        <v>75</v>
      </c>
      <c r="W113" s="216" t="s">
        <v>75</v>
      </c>
      <c r="X113" s="200" t="s">
        <v>230</v>
      </c>
      <c r="Y113" s="216" t="s">
        <v>75</v>
      </c>
      <c r="Z113" s="216" t="s">
        <v>75</v>
      </c>
      <c r="AA113" s="213" t="s">
        <v>75</v>
      </c>
      <c r="AB113" s="213" t="s">
        <v>75</v>
      </c>
      <c r="AC113" s="500"/>
      <c r="AI113" s="184"/>
    </row>
    <row r="114" spans="1:35" s="189" customFormat="1" ht="16.2" customHeight="1" x14ac:dyDescent="0.25">
      <c r="A114" s="284"/>
      <c r="B114" s="217" t="s">
        <v>420</v>
      </c>
      <c r="C114" s="217" t="s">
        <v>421</v>
      </c>
      <c r="D114" s="216" t="s">
        <v>230</v>
      </c>
      <c r="E114" s="216" t="s">
        <v>230</v>
      </c>
      <c r="F114" s="218" t="s">
        <v>230</v>
      </c>
      <c r="G114" s="216" t="s">
        <v>230</v>
      </c>
      <c r="H114" s="216" t="s">
        <v>75</v>
      </c>
      <c r="I114" s="216" t="s">
        <v>75</v>
      </c>
      <c r="J114" s="216" t="s">
        <v>75</v>
      </c>
      <c r="K114" s="216"/>
      <c r="L114" s="216"/>
      <c r="M114" s="216" t="s">
        <v>230</v>
      </c>
      <c r="N114" s="216" t="s">
        <v>230</v>
      </c>
      <c r="O114" s="218" t="s">
        <v>230</v>
      </c>
      <c r="P114" s="216" t="s">
        <v>230</v>
      </c>
      <c r="Q114" s="216" t="s">
        <v>75</v>
      </c>
      <c r="R114" s="216" t="s">
        <v>75</v>
      </c>
      <c r="S114" s="216" t="s">
        <v>75</v>
      </c>
      <c r="T114" s="500"/>
      <c r="U114" s="295"/>
      <c r="V114" s="216" t="s">
        <v>230</v>
      </c>
      <c r="W114" s="216" t="s">
        <v>230</v>
      </c>
      <c r="X114" s="200" t="s">
        <v>230</v>
      </c>
      <c r="Y114" s="213" t="s">
        <v>75</v>
      </c>
      <c r="Z114" s="213" t="s">
        <v>75</v>
      </c>
      <c r="AA114" s="213" t="s">
        <v>75</v>
      </c>
      <c r="AB114" s="213" t="s">
        <v>75</v>
      </c>
      <c r="AC114" s="500"/>
      <c r="AI114" s="184"/>
    </row>
    <row r="115" spans="1:35" s="189" customFormat="1" ht="16.2" customHeight="1" x14ac:dyDescent="0.25">
      <c r="A115" s="284"/>
      <c r="B115" s="217" t="s">
        <v>422</v>
      </c>
      <c r="C115" s="217" t="s">
        <v>423</v>
      </c>
      <c r="D115" s="216" t="s">
        <v>75</v>
      </c>
      <c r="E115" s="216" t="s">
        <v>75</v>
      </c>
      <c r="F115" s="218" t="s">
        <v>230</v>
      </c>
      <c r="G115" s="216">
        <v>5</v>
      </c>
      <c r="H115" s="216" t="s">
        <v>75</v>
      </c>
      <c r="I115" s="216" t="s">
        <v>75</v>
      </c>
      <c r="J115" s="216" t="s">
        <v>75</v>
      </c>
      <c r="K115" s="216"/>
      <c r="L115" s="216"/>
      <c r="M115" s="216" t="s">
        <v>75</v>
      </c>
      <c r="N115" s="216" t="s">
        <v>75</v>
      </c>
      <c r="O115" s="218" t="s">
        <v>230</v>
      </c>
      <c r="P115" s="216">
        <v>5</v>
      </c>
      <c r="Q115" s="216" t="s">
        <v>75</v>
      </c>
      <c r="R115" s="216" t="s">
        <v>75</v>
      </c>
      <c r="S115" s="216" t="s">
        <v>75</v>
      </c>
      <c r="T115" s="500"/>
      <c r="U115" s="213"/>
      <c r="V115" s="216" t="s">
        <v>75</v>
      </c>
      <c r="W115" s="216" t="s">
        <v>75</v>
      </c>
      <c r="X115" s="200" t="s">
        <v>230</v>
      </c>
      <c r="Y115" s="216" t="s">
        <v>75</v>
      </c>
      <c r="Z115" s="216" t="s">
        <v>75</v>
      </c>
      <c r="AA115" s="213" t="s">
        <v>75</v>
      </c>
      <c r="AB115" s="213" t="s">
        <v>75</v>
      </c>
      <c r="AC115" s="500"/>
      <c r="AI115" s="184"/>
    </row>
    <row r="116" spans="1:35" ht="16.2" customHeight="1" x14ac:dyDescent="0.25">
      <c r="A116" s="284"/>
      <c r="B116" s="217" t="s">
        <v>424</v>
      </c>
      <c r="C116" s="217" t="s">
        <v>425</v>
      </c>
      <c r="D116" s="216" t="s">
        <v>230</v>
      </c>
      <c r="E116" s="216">
        <v>5</v>
      </c>
      <c r="F116" s="218" t="s">
        <v>230</v>
      </c>
      <c r="G116" s="216" t="s">
        <v>230</v>
      </c>
      <c r="H116" s="216" t="s">
        <v>75</v>
      </c>
      <c r="I116" s="216" t="s">
        <v>75</v>
      </c>
      <c r="J116" s="216" t="s">
        <v>75</v>
      </c>
      <c r="K116" s="216"/>
      <c r="L116" s="216"/>
      <c r="M116" s="216" t="s">
        <v>230</v>
      </c>
      <c r="N116" s="216">
        <v>5</v>
      </c>
      <c r="O116" s="218" t="s">
        <v>230</v>
      </c>
      <c r="P116" s="216" t="s">
        <v>230</v>
      </c>
      <c r="Q116" s="216" t="s">
        <v>75</v>
      </c>
      <c r="R116" s="216" t="s">
        <v>75</v>
      </c>
      <c r="S116" s="216" t="s">
        <v>75</v>
      </c>
      <c r="T116" s="500"/>
      <c r="U116" s="295"/>
      <c r="V116" s="216" t="s">
        <v>230</v>
      </c>
      <c r="W116" s="216" t="s">
        <v>230</v>
      </c>
      <c r="X116" s="200" t="s">
        <v>230</v>
      </c>
      <c r="Y116" s="216" t="s">
        <v>75</v>
      </c>
      <c r="Z116" s="216" t="s">
        <v>75</v>
      </c>
      <c r="AA116" s="213" t="s">
        <v>75</v>
      </c>
      <c r="AB116" s="213" t="s">
        <v>75</v>
      </c>
      <c r="AC116" s="500"/>
    </row>
    <row r="117" spans="1:35" ht="16.2" customHeight="1" x14ac:dyDescent="0.25">
      <c r="A117" s="284"/>
      <c r="B117" s="217" t="s">
        <v>426</v>
      </c>
      <c r="C117" s="217" t="s">
        <v>427</v>
      </c>
      <c r="D117" s="216" t="s">
        <v>230</v>
      </c>
      <c r="E117" s="216" t="s">
        <v>230</v>
      </c>
      <c r="F117" s="218" t="s">
        <v>230</v>
      </c>
      <c r="G117" s="216" t="s">
        <v>230</v>
      </c>
      <c r="H117" s="216" t="s">
        <v>75</v>
      </c>
      <c r="I117" s="216" t="s">
        <v>75</v>
      </c>
      <c r="J117" s="216" t="s">
        <v>75</v>
      </c>
      <c r="K117" s="216"/>
      <c r="L117" s="216"/>
      <c r="M117" s="216" t="s">
        <v>230</v>
      </c>
      <c r="N117" s="216" t="s">
        <v>230</v>
      </c>
      <c r="O117" s="218" t="s">
        <v>230</v>
      </c>
      <c r="P117" s="216" t="s">
        <v>230</v>
      </c>
      <c r="Q117" s="216" t="s">
        <v>75</v>
      </c>
      <c r="R117" s="216" t="s">
        <v>75</v>
      </c>
      <c r="S117" s="216" t="s">
        <v>75</v>
      </c>
      <c r="T117" s="500"/>
      <c r="U117" s="295"/>
      <c r="V117" s="216" t="s">
        <v>230</v>
      </c>
      <c r="W117" s="216" t="s">
        <v>230</v>
      </c>
      <c r="X117" s="200" t="s">
        <v>230</v>
      </c>
      <c r="Y117" s="216" t="s">
        <v>75</v>
      </c>
      <c r="Z117" s="216" t="s">
        <v>75</v>
      </c>
      <c r="AA117" s="213" t="s">
        <v>75</v>
      </c>
      <c r="AB117" s="213" t="s">
        <v>75</v>
      </c>
      <c r="AC117" s="500"/>
    </row>
    <row r="118" spans="1:35" ht="16.2" customHeight="1" x14ac:dyDescent="0.25">
      <c r="A118" s="284"/>
      <c r="B118" s="217" t="s">
        <v>428</v>
      </c>
      <c r="C118" s="217" t="s">
        <v>429</v>
      </c>
      <c r="D118" s="216" t="s">
        <v>230</v>
      </c>
      <c r="E118" s="216" t="s">
        <v>230</v>
      </c>
      <c r="F118" s="218" t="s">
        <v>230</v>
      </c>
      <c r="G118" s="216" t="s">
        <v>230</v>
      </c>
      <c r="H118" s="216" t="s">
        <v>75</v>
      </c>
      <c r="I118" s="216" t="s">
        <v>75</v>
      </c>
      <c r="J118" s="216" t="s">
        <v>75</v>
      </c>
      <c r="K118" s="216"/>
      <c r="L118" s="216"/>
      <c r="M118" s="216" t="s">
        <v>230</v>
      </c>
      <c r="N118" s="216" t="s">
        <v>230</v>
      </c>
      <c r="O118" s="218" t="s">
        <v>230</v>
      </c>
      <c r="P118" s="216" t="s">
        <v>230</v>
      </c>
      <c r="Q118" s="216" t="s">
        <v>75</v>
      </c>
      <c r="R118" s="216" t="s">
        <v>75</v>
      </c>
      <c r="S118" s="216" t="s">
        <v>75</v>
      </c>
      <c r="T118" s="500"/>
      <c r="U118" s="295"/>
      <c r="V118" s="216" t="s">
        <v>230</v>
      </c>
      <c r="W118" s="216" t="s">
        <v>230</v>
      </c>
      <c r="X118" s="200" t="s">
        <v>230</v>
      </c>
      <c r="Y118" s="216" t="s">
        <v>75</v>
      </c>
      <c r="Z118" s="216" t="s">
        <v>75</v>
      </c>
      <c r="AA118" s="213" t="s">
        <v>75</v>
      </c>
      <c r="AB118" s="213" t="s">
        <v>75</v>
      </c>
      <c r="AC118" s="500"/>
    </row>
    <row r="119" spans="1:35" ht="16.2" customHeight="1" x14ac:dyDescent="0.25">
      <c r="A119" s="284"/>
      <c r="B119" s="217" t="s">
        <v>430</v>
      </c>
      <c r="C119" s="299" t="s">
        <v>431</v>
      </c>
      <c r="D119" s="216" t="s">
        <v>230</v>
      </c>
      <c r="E119" s="216" t="s">
        <v>230</v>
      </c>
      <c r="F119" s="218" t="s">
        <v>75</v>
      </c>
      <c r="G119" s="216" t="s">
        <v>75</v>
      </c>
      <c r="H119" s="216" t="s">
        <v>75</v>
      </c>
      <c r="I119" s="216" t="s">
        <v>75</v>
      </c>
      <c r="J119" s="216" t="s">
        <v>75</v>
      </c>
      <c r="K119" s="216"/>
      <c r="L119" s="216"/>
      <c r="M119" s="216" t="s">
        <v>230</v>
      </c>
      <c r="N119" s="216" t="s">
        <v>230</v>
      </c>
      <c r="O119" s="218" t="s">
        <v>75</v>
      </c>
      <c r="P119" s="216" t="s">
        <v>75</v>
      </c>
      <c r="Q119" s="216" t="s">
        <v>75</v>
      </c>
      <c r="R119" s="216" t="s">
        <v>75</v>
      </c>
      <c r="S119" s="216" t="s">
        <v>75</v>
      </c>
      <c r="T119" s="500"/>
      <c r="U119" s="295"/>
      <c r="V119" s="216" t="s">
        <v>230</v>
      </c>
      <c r="W119" s="216" t="s">
        <v>230</v>
      </c>
      <c r="X119" s="200" t="s">
        <v>75</v>
      </c>
      <c r="Y119" s="213" t="s">
        <v>75</v>
      </c>
      <c r="Z119" s="213" t="s">
        <v>75</v>
      </c>
      <c r="AA119" s="213" t="s">
        <v>75</v>
      </c>
      <c r="AB119" s="213" t="s">
        <v>75</v>
      </c>
      <c r="AC119" s="500"/>
    </row>
    <row r="120" spans="1:35" ht="16.2" customHeight="1" x14ac:dyDescent="0.25">
      <c r="A120" s="284"/>
      <c r="B120" s="217" t="s">
        <v>432</v>
      </c>
      <c r="C120" s="217" t="s">
        <v>433</v>
      </c>
      <c r="D120" s="216" t="s">
        <v>75</v>
      </c>
      <c r="E120" s="216" t="s">
        <v>75</v>
      </c>
      <c r="F120" s="218" t="s">
        <v>230</v>
      </c>
      <c r="G120" s="216" t="s">
        <v>75</v>
      </c>
      <c r="H120" s="216" t="s">
        <v>75</v>
      </c>
      <c r="I120" s="216" t="s">
        <v>75</v>
      </c>
      <c r="J120" s="216" t="s">
        <v>75</v>
      </c>
      <c r="K120" s="216"/>
      <c r="L120" s="216"/>
      <c r="M120" s="216" t="s">
        <v>75</v>
      </c>
      <c r="N120" s="216" t="s">
        <v>75</v>
      </c>
      <c r="O120" s="218" t="s">
        <v>230</v>
      </c>
      <c r="P120" s="216" t="s">
        <v>75</v>
      </c>
      <c r="Q120" s="216" t="s">
        <v>75</v>
      </c>
      <c r="R120" s="216" t="s">
        <v>75</v>
      </c>
      <c r="S120" s="216" t="s">
        <v>75</v>
      </c>
      <c r="T120" s="500"/>
      <c r="U120" s="295"/>
      <c r="V120" s="216" t="s">
        <v>75</v>
      </c>
      <c r="W120" s="216" t="s">
        <v>75</v>
      </c>
      <c r="X120" s="200" t="s">
        <v>230</v>
      </c>
      <c r="Y120" s="213" t="s">
        <v>75</v>
      </c>
      <c r="Z120" s="213" t="s">
        <v>75</v>
      </c>
      <c r="AA120" s="213" t="s">
        <v>75</v>
      </c>
      <c r="AB120" s="213" t="s">
        <v>75</v>
      </c>
      <c r="AC120" s="500"/>
    </row>
    <row r="121" spans="1:35" ht="16.2" customHeight="1" x14ac:dyDescent="0.25">
      <c r="A121" s="284"/>
      <c r="B121" s="217" t="s">
        <v>434</v>
      </c>
      <c r="C121" s="217" t="s">
        <v>435</v>
      </c>
      <c r="D121" s="216" t="s">
        <v>230</v>
      </c>
      <c r="E121" s="216" t="s">
        <v>230</v>
      </c>
      <c r="F121" s="218" t="s">
        <v>230</v>
      </c>
      <c r="G121" s="216" t="s">
        <v>75</v>
      </c>
      <c r="H121" s="216" t="s">
        <v>75</v>
      </c>
      <c r="I121" s="216" t="s">
        <v>75</v>
      </c>
      <c r="J121" s="216" t="s">
        <v>75</v>
      </c>
      <c r="K121" s="216"/>
      <c r="L121" s="216"/>
      <c r="M121" s="216" t="s">
        <v>230</v>
      </c>
      <c r="N121" s="216" t="s">
        <v>230</v>
      </c>
      <c r="O121" s="218" t="s">
        <v>230</v>
      </c>
      <c r="P121" s="216" t="s">
        <v>75</v>
      </c>
      <c r="Q121" s="216" t="s">
        <v>75</v>
      </c>
      <c r="R121" s="216" t="s">
        <v>75</v>
      </c>
      <c r="S121" s="216" t="s">
        <v>75</v>
      </c>
      <c r="T121" s="500"/>
      <c r="U121" s="295"/>
      <c r="V121" s="216" t="s">
        <v>230</v>
      </c>
      <c r="W121" s="216" t="s">
        <v>230</v>
      </c>
      <c r="X121" s="200" t="s">
        <v>230</v>
      </c>
      <c r="Y121" s="213" t="s">
        <v>75</v>
      </c>
      <c r="Z121" s="213" t="s">
        <v>75</v>
      </c>
      <c r="AA121" s="213" t="s">
        <v>75</v>
      </c>
      <c r="AB121" s="213" t="s">
        <v>75</v>
      </c>
      <c r="AC121" s="500"/>
    </row>
    <row r="122" spans="1:35" ht="16.2" customHeight="1" x14ac:dyDescent="0.25">
      <c r="A122" s="284"/>
      <c r="B122" s="217" t="s">
        <v>436</v>
      </c>
      <c r="C122" s="217" t="s">
        <v>437</v>
      </c>
      <c r="D122" s="216" t="s">
        <v>230</v>
      </c>
      <c r="E122" s="216" t="s">
        <v>230</v>
      </c>
      <c r="F122" s="218" t="s">
        <v>230</v>
      </c>
      <c r="G122" s="216" t="s">
        <v>75</v>
      </c>
      <c r="H122" s="216" t="s">
        <v>75</v>
      </c>
      <c r="I122" s="216" t="s">
        <v>75</v>
      </c>
      <c r="J122" s="216" t="s">
        <v>75</v>
      </c>
      <c r="K122" s="216"/>
      <c r="L122" s="216"/>
      <c r="M122" s="216" t="s">
        <v>230</v>
      </c>
      <c r="N122" s="216" t="s">
        <v>230</v>
      </c>
      <c r="O122" s="218" t="s">
        <v>230</v>
      </c>
      <c r="P122" s="216" t="s">
        <v>75</v>
      </c>
      <c r="Q122" s="216" t="s">
        <v>75</v>
      </c>
      <c r="R122" s="216" t="s">
        <v>75</v>
      </c>
      <c r="S122" s="216" t="s">
        <v>75</v>
      </c>
      <c r="T122" s="500"/>
      <c r="U122" s="295"/>
      <c r="V122" s="216" t="s">
        <v>230</v>
      </c>
      <c r="W122" s="216" t="s">
        <v>230</v>
      </c>
      <c r="X122" s="200" t="s">
        <v>230</v>
      </c>
      <c r="Y122" s="213" t="s">
        <v>75</v>
      </c>
      <c r="Z122" s="213" t="s">
        <v>75</v>
      </c>
      <c r="AA122" s="213" t="s">
        <v>75</v>
      </c>
      <c r="AB122" s="213" t="s">
        <v>75</v>
      </c>
      <c r="AC122" s="500"/>
    </row>
    <row r="123" spans="1:35" ht="16.2" customHeight="1" x14ac:dyDescent="0.25">
      <c r="A123" s="284"/>
      <c r="B123" s="217" t="s">
        <v>438</v>
      </c>
      <c r="C123" s="217" t="s">
        <v>439</v>
      </c>
      <c r="D123" s="216" t="s">
        <v>230</v>
      </c>
      <c r="E123" s="216" t="s">
        <v>230</v>
      </c>
      <c r="F123" s="218" t="s">
        <v>230</v>
      </c>
      <c r="G123" s="216" t="s">
        <v>230</v>
      </c>
      <c r="H123" s="216" t="s">
        <v>75</v>
      </c>
      <c r="I123" s="216" t="s">
        <v>75</v>
      </c>
      <c r="J123" s="216" t="s">
        <v>75</v>
      </c>
      <c r="K123" s="216"/>
      <c r="L123" s="216"/>
      <c r="M123" s="216" t="s">
        <v>230</v>
      </c>
      <c r="N123" s="216" t="s">
        <v>230</v>
      </c>
      <c r="O123" s="218" t="s">
        <v>230</v>
      </c>
      <c r="P123" s="216" t="s">
        <v>230</v>
      </c>
      <c r="Q123" s="216" t="s">
        <v>75</v>
      </c>
      <c r="R123" s="216" t="s">
        <v>75</v>
      </c>
      <c r="S123" s="216" t="s">
        <v>75</v>
      </c>
      <c r="T123" s="500"/>
      <c r="U123" s="295"/>
      <c r="V123" s="216" t="s">
        <v>230</v>
      </c>
      <c r="W123" s="216" t="s">
        <v>230</v>
      </c>
      <c r="X123" s="200" t="s">
        <v>230</v>
      </c>
      <c r="Y123" s="216" t="s">
        <v>75</v>
      </c>
      <c r="Z123" s="216" t="s">
        <v>75</v>
      </c>
      <c r="AA123" s="213" t="s">
        <v>75</v>
      </c>
      <c r="AB123" s="213" t="s">
        <v>75</v>
      </c>
      <c r="AC123" s="500"/>
    </row>
    <row r="124" spans="1:35" ht="16.2" customHeight="1" x14ac:dyDescent="0.25">
      <c r="A124" s="292"/>
      <c r="B124" s="217" t="s">
        <v>440</v>
      </c>
      <c r="C124" s="217" t="s">
        <v>441</v>
      </c>
      <c r="D124" s="216" t="s">
        <v>230</v>
      </c>
      <c r="E124" s="216" t="s">
        <v>230</v>
      </c>
      <c r="F124" s="218" t="s">
        <v>230</v>
      </c>
      <c r="G124" s="216" t="s">
        <v>230</v>
      </c>
      <c r="H124" s="216" t="s">
        <v>75</v>
      </c>
      <c r="I124" s="216" t="s">
        <v>75</v>
      </c>
      <c r="J124" s="216" t="s">
        <v>75</v>
      </c>
      <c r="K124" s="216"/>
      <c r="L124" s="216"/>
      <c r="M124" s="216" t="s">
        <v>230</v>
      </c>
      <c r="N124" s="216" t="s">
        <v>230</v>
      </c>
      <c r="O124" s="218" t="s">
        <v>230</v>
      </c>
      <c r="P124" s="216" t="s">
        <v>230</v>
      </c>
      <c r="Q124" s="216" t="s">
        <v>75</v>
      </c>
      <c r="R124" s="216" t="s">
        <v>75</v>
      </c>
      <c r="S124" s="216" t="s">
        <v>75</v>
      </c>
      <c r="T124" s="500"/>
      <c r="U124" s="295"/>
      <c r="V124" s="216" t="s">
        <v>230</v>
      </c>
      <c r="W124" s="216" t="s">
        <v>230</v>
      </c>
      <c r="X124" s="200" t="s">
        <v>230</v>
      </c>
      <c r="Y124" s="216" t="s">
        <v>75</v>
      </c>
      <c r="Z124" s="216" t="s">
        <v>75</v>
      </c>
      <c r="AA124" s="213" t="s">
        <v>75</v>
      </c>
      <c r="AB124" s="213" t="s">
        <v>75</v>
      </c>
      <c r="AC124" s="500"/>
    </row>
    <row r="125" spans="1:35" ht="16.2" customHeight="1" x14ac:dyDescent="0.25">
      <c r="A125" s="292"/>
      <c r="B125" s="217" t="s">
        <v>442</v>
      </c>
      <c r="C125" s="217" t="s">
        <v>443</v>
      </c>
      <c r="D125" s="216" t="s">
        <v>230</v>
      </c>
      <c r="E125" s="216" t="s">
        <v>230</v>
      </c>
      <c r="F125" s="218" t="s">
        <v>230</v>
      </c>
      <c r="G125" s="216" t="s">
        <v>230</v>
      </c>
      <c r="H125" s="216" t="s">
        <v>75</v>
      </c>
      <c r="I125" s="216" t="s">
        <v>75</v>
      </c>
      <c r="J125" s="216" t="s">
        <v>75</v>
      </c>
      <c r="K125" s="216"/>
      <c r="L125" s="216"/>
      <c r="M125" s="216" t="s">
        <v>230</v>
      </c>
      <c r="N125" s="216" t="s">
        <v>230</v>
      </c>
      <c r="O125" s="218" t="s">
        <v>230</v>
      </c>
      <c r="P125" s="216" t="s">
        <v>230</v>
      </c>
      <c r="Q125" s="216" t="s">
        <v>75</v>
      </c>
      <c r="R125" s="216" t="s">
        <v>75</v>
      </c>
      <c r="S125" s="216" t="s">
        <v>75</v>
      </c>
      <c r="T125" s="500"/>
      <c r="U125" s="295"/>
      <c r="V125" s="216" t="s">
        <v>230</v>
      </c>
      <c r="W125" s="216" t="s">
        <v>230</v>
      </c>
      <c r="X125" s="200" t="s">
        <v>230</v>
      </c>
      <c r="Y125" s="216" t="s">
        <v>75</v>
      </c>
      <c r="Z125" s="216" t="s">
        <v>75</v>
      </c>
      <c r="AA125" s="213" t="s">
        <v>75</v>
      </c>
      <c r="AB125" s="213" t="s">
        <v>75</v>
      </c>
      <c r="AC125" s="500"/>
    </row>
    <row r="126" spans="1:35" ht="16.2" customHeight="1" x14ac:dyDescent="0.25">
      <c r="A126" s="292"/>
      <c r="B126" s="217" t="s">
        <v>444</v>
      </c>
      <c r="C126" s="217" t="s">
        <v>445</v>
      </c>
      <c r="D126" s="216" t="s">
        <v>75</v>
      </c>
      <c r="E126" s="216" t="s">
        <v>75</v>
      </c>
      <c r="F126" s="218" t="s">
        <v>230</v>
      </c>
      <c r="G126" s="216">
        <v>25</v>
      </c>
      <c r="H126" s="216" t="s">
        <v>75</v>
      </c>
      <c r="I126" s="216" t="s">
        <v>75</v>
      </c>
      <c r="J126" s="216" t="s">
        <v>75</v>
      </c>
      <c r="K126" s="216"/>
      <c r="L126" s="216"/>
      <c r="M126" s="216" t="s">
        <v>75</v>
      </c>
      <c r="N126" s="216" t="s">
        <v>75</v>
      </c>
      <c r="O126" s="218" t="s">
        <v>230</v>
      </c>
      <c r="P126" s="216">
        <v>25</v>
      </c>
      <c r="Q126" s="216" t="s">
        <v>75</v>
      </c>
      <c r="R126" s="216" t="s">
        <v>75</v>
      </c>
      <c r="S126" s="216" t="s">
        <v>75</v>
      </c>
      <c r="T126" s="500"/>
      <c r="U126" s="295"/>
      <c r="V126" s="216" t="s">
        <v>75</v>
      </c>
      <c r="W126" s="216" t="s">
        <v>75</v>
      </c>
      <c r="X126" s="200" t="s">
        <v>230</v>
      </c>
      <c r="Y126" s="216" t="s">
        <v>75</v>
      </c>
      <c r="Z126" s="216" t="s">
        <v>75</v>
      </c>
      <c r="AA126" s="213" t="s">
        <v>75</v>
      </c>
      <c r="AB126" s="213" t="s">
        <v>75</v>
      </c>
      <c r="AC126" s="500"/>
    </row>
    <row r="127" spans="1:35" ht="16.2" customHeight="1" x14ac:dyDescent="0.25">
      <c r="A127" s="292"/>
      <c r="B127" s="217" t="s">
        <v>446</v>
      </c>
      <c r="C127" s="217" t="s">
        <v>447</v>
      </c>
      <c r="D127" s="216" t="s">
        <v>230</v>
      </c>
      <c r="E127" s="216" t="s">
        <v>230</v>
      </c>
      <c r="F127" s="218" t="s">
        <v>75</v>
      </c>
      <c r="G127" s="216" t="s">
        <v>230</v>
      </c>
      <c r="H127" s="216" t="s">
        <v>75</v>
      </c>
      <c r="I127" s="216" t="s">
        <v>75</v>
      </c>
      <c r="J127" s="216" t="s">
        <v>75</v>
      </c>
      <c r="K127" s="216"/>
      <c r="L127" s="216"/>
      <c r="M127" s="216" t="s">
        <v>230</v>
      </c>
      <c r="N127" s="216" t="s">
        <v>230</v>
      </c>
      <c r="O127" s="218" t="s">
        <v>75</v>
      </c>
      <c r="P127" s="216" t="s">
        <v>230</v>
      </c>
      <c r="Q127" s="216" t="s">
        <v>75</v>
      </c>
      <c r="R127" s="216" t="s">
        <v>75</v>
      </c>
      <c r="S127" s="216" t="s">
        <v>75</v>
      </c>
      <c r="T127" s="500"/>
      <c r="U127" s="295"/>
      <c r="V127" s="216" t="s">
        <v>230</v>
      </c>
      <c r="W127" s="216" t="s">
        <v>230</v>
      </c>
      <c r="X127" s="200" t="s">
        <v>75</v>
      </c>
      <c r="Y127" s="216" t="s">
        <v>75</v>
      </c>
      <c r="Z127" s="216" t="s">
        <v>75</v>
      </c>
      <c r="AA127" s="213" t="s">
        <v>75</v>
      </c>
      <c r="AB127" s="213" t="s">
        <v>75</v>
      </c>
      <c r="AC127" s="500"/>
    </row>
    <row r="128" spans="1:35" ht="16.2" customHeight="1" x14ac:dyDescent="0.25">
      <c r="A128" s="292"/>
      <c r="B128" s="217" t="s">
        <v>448</v>
      </c>
      <c r="C128" s="217" t="s">
        <v>449</v>
      </c>
      <c r="D128" s="216" t="s">
        <v>230</v>
      </c>
      <c r="E128" s="216" t="s">
        <v>230</v>
      </c>
      <c r="F128" s="218" t="s">
        <v>230</v>
      </c>
      <c r="G128" s="216" t="s">
        <v>230</v>
      </c>
      <c r="H128" s="216" t="s">
        <v>75</v>
      </c>
      <c r="I128" s="216" t="s">
        <v>75</v>
      </c>
      <c r="J128" s="216" t="s">
        <v>75</v>
      </c>
      <c r="K128" s="216"/>
      <c r="L128" s="216"/>
      <c r="M128" s="216" t="s">
        <v>230</v>
      </c>
      <c r="N128" s="216" t="s">
        <v>230</v>
      </c>
      <c r="O128" s="218" t="s">
        <v>230</v>
      </c>
      <c r="P128" s="216" t="s">
        <v>230</v>
      </c>
      <c r="Q128" s="216" t="s">
        <v>75</v>
      </c>
      <c r="R128" s="216" t="s">
        <v>75</v>
      </c>
      <c r="S128" s="216" t="s">
        <v>75</v>
      </c>
      <c r="T128" s="500"/>
      <c r="U128" s="295"/>
      <c r="V128" s="216" t="s">
        <v>230</v>
      </c>
      <c r="W128" s="216" t="s">
        <v>230</v>
      </c>
      <c r="X128" s="200" t="s">
        <v>230</v>
      </c>
      <c r="Y128" s="216" t="s">
        <v>75</v>
      </c>
      <c r="Z128" s="216" t="s">
        <v>75</v>
      </c>
      <c r="AA128" s="213" t="s">
        <v>75</v>
      </c>
      <c r="AB128" s="213" t="s">
        <v>75</v>
      </c>
      <c r="AC128" s="500"/>
    </row>
    <row r="129" spans="1:35" ht="16.2" customHeight="1" x14ac:dyDescent="0.25">
      <c r="A129" s="292"/>
      <c r="B129" s="217" t="s">
        <v>450</v>
      </c>
      <c r="C129" s="217" t="s">
        <v>451</v>
      </c>
      <c r="D129" s="216" t="s">
        <v>230</v>
      </c>
      <c r="E129" s="216" t="s">
        <v>230</v>
      </c>
      <c r="F129" s="218">
        <v>30</v>
      </c>
      <c r="G129" s="216" t="s">
        <v>230</v>
      </c>
      <c r="H129" s="216" t="s">
        <v>75</v>
      </c>
      <c r="I129" s="216" t="s">
        <v>75</v>
      </c>
      <c r="J129" s="216" t="s">
        <v>75</v>
      </c>
      <c r="K129" s="216"/>
      <c r="L129" s="216"/>
      <c r="M129" s="216" t="s">
        <v>230</v>
      </c>
      <c r="N129" s="216" t="s">
        <v>230</v>
      </c>
      <c r="O129" s="218">
        <v>30</v>
      </c>
      <c r="P129" s="216" t="s">
        <v>230</v>
      </c>
      <c r="Q129" s="216" t="s">
        <v>75</v>
      </c>
      <c r="R129" s="216" t="s">
        <v>75</v>
      </c>
      <c r="S129" s="216" t="s">
        <v>75</v>
      </c>
      <c r="T129" s="500"/>
      <c r="U129" s="295"/>
      <c r="V129" s="216" t="s">
        <v>230</v>
      </c>
      <c r="W129" s="216" t="s">
        <v>230</v>
      </c>
      <c r="X129" s="200" t="s">
        <v>230</v>
      </c>
      <c r="Y129" s="216" t="s">
        <v>75</v>
      </c>
      <c r="Z129" s="216" t="s">
        <v>75</v>
      </c>
      <c r="AA129" s="213" t="s">
        <v>75</v>
      </c>
      <c r="AB129" s="213" t="s">
        <v>75</v>
      </c>
      <c r="AC129" s="500"/>
    </row>
    <row r="130" spans="1:35" ht="16.2" customHeight="1" x14ac:dyDescent="0.25">
      <c r="A130" s="292"/>
      <c r="B130" s="217" t="s">
        <v>452</v>
      </c>
      <c r="C130" s="217" t="s">
        <v>453</v>
      </c>
      <c r="D130" s="216" t="s">
        <v>230</v>
      </c>
      <c r="E130" s="216" t="s">
        <v>230</v>
      </c>
      <c r="F130" s="218" t="s">
        <v>230</v>
      </c>
      <c r="G130" s="216">
        <v>20</v>
      </c>
      <c r="H130" s="216" t="s">
        <v>75</v>
      </c>
      <c r="I130" s="216" t="s">
        <v>75</v>
      </c>
      <c r="J130" s="216" t="s">
        <v>75</v>
      </c>
      <c r="K130" s="216"/>
      <c r="L130" s="216"/>
      <c r="M130" s="216" t="s">
        <v>230</v>
      </c>
      <c r="N130" s="216" t="s">
        <v>230</v>
      </c>
      <c r="O130" s="218" t="s">
        <v>230</v>
      </c>
      <c r="P130" s="216">
        <v>20</v>
      </c>
      <c r="Q130" s="216" t="s">
        <v>75</v>
      </c>
      <c r="R130" s="216" t="s">
        <v>75</v>
      </c>
      <c r="S130" s="216" t="s">
        <v>75</v>
      </c>
      <c r="T130" s="500"/>
      <c r="U130" s="295"/>
      <c r="V130" s="216" t="s">
        <v>230</v>
      </c>
      <c r="W130" s="216" t="s">
        <v>230</v>
      </c>
      <c r="X130" s="200" t="s">
        <v>230</v>
      </c>
      <c r="Y130" s="216" t="s">
        <v>75</v>
      </c>
      <c r="Z130" s="216" t="s">
        <v>75</v>
      </c>
      <c r="AA130" s="213" t="s">
        <v>75</v>
      </c>
      <c r="AB130" s="213" t="s">
        <v>75</v>
      </c>
      <c r="AC130" s="500"/>
    </row>
    <row r="131" spans="1:35" ht="16.2" customHeight="1" x14ac:dyDescent="0.25">
      <c r="A131" s="292"/>
      <c r="B131" s="217" t="s">
        <v>454</v>
      </c>
      <c r="C131" s="217" t="s">
        <v>455</v>
      </c>
      <c r="D131" s="216" t="s">
        <v>75</v>
      </c>
      <c r="E131" s="216" t="s">
        <v>75</v>
      </c>
      <c r="F131" s="218" t="s">
        <v>230</v>
      </c>
      <c r="G131" s="216" t="s">
        <v>230</v>
      </c>
      <c r="H131" s="216" t="s">
        <v>75</v>
      </c>
      <c r="I131" s="216" t="s">
        <v>75</v>
      </c>
      <c r="J131" s="216" t="s">
        <v>75</v>
      </c>
      <c r="K131" s="216"/>
      <c r="L131" s="216"/>
      <c r="M131" s="216" t="s">
        <v>75</v>
      </c>
      <c r="N131" s="216" t="s">
        <v>75</v>
      </c>
      <c r="O131" s="218" t="s">
        <v>230</v>
      </c>
      <c r="P131" s="216" t="s">
        <v>230</v>
      </c>
      <c r="Q131" s="216" t="s">
        <v>75</v>
      </c>
      <c r="R131" s="216" t="s">
        <v>75</v>
      </c>
      <c r="S131" s="216" t="s">
        <v>75</v>
      </c>
      <c r="T131" s="500"/>
      <c r="U131" s="295"/>
      <c r="V131" s="216" t="s">
        <v>75</v>
      </c>
      <c r="W131" s="216" t="s">
        <v>75</v>
      </c>
      <c r="X131" s="200" t="s">
        <v>230</v>
      </c>
      <c r="Y131" s="216" t="s">
        <v>75</v>
      </c>
      <c r="Z131" s="216" t="s">
        <v>75</v>
      </c>
      <c r="AA131" s="213" t="s">
        <v>75</v>
      </c>
      <c r="AB131" s="213" t="s">
        <v>75</v>
      </c>
      <c r="AC131" s="500"/>
    </row>
    <row r="132" spans="1:35" ht="16.2" customHeight="1" x14ac:dyDescent="0.25">
      <c r="A132" s="292"/>
      <c r="B132" s="217" t="s">
        <v>456</v>
      </c>
      <c r="C132" s="217" t="s">
        <v>457</v>
      </c>
      <c r="D132" s="216" t="s">
        <v>230</v>
      </c>
      <c r="E132" s="216" t="s">
        <v>230</v>
      </c>
      <c r="F132" s="218" t="s">
        <v>75</v>
      </c>
      <c r="G132" s="216" t="s">
        <v>75</v>
      </c>
      <c r="H132" s="216" t="s">
        <v>75</v>
      </c>
      <c r="I132" s="216" t="s">
        <v>75</v>
      </c>
      <c r="J132" s="216" t="s">
        <v>75</v>
      </c>
      <c r="K132" s="216"/>
      <c r="L132" s="216"/>
      <c r="M132" s="216" t="s">
        <v>230</v>
      </c>
      <c r="N132" s="216" t="s">
        <v>230</v>
      </c>
      <c r="O132" s="218" t="s">
        <v>75</v>
      </c>
      <c r="P132" s="216" t="s">
        <v>75</v>
      </c>
      <c r="Q132" s="216" t="s">
        <v>75</v>
      </c>
      <c r="R132" s="216" t="s">
        <v>75</v>
      </c>
      <c r="S132" s="216" t="s">
        <v>75</v>
      </c>
      <c r="T132" s="500"/>
      <c r="U132" s="295"/>
      <c r="V132" s="216" t="s">
        <v>230</v>
      </c>
      <c r="W132" s="216" t="s">
        <v>230</v>
      </c>
      <c r="X132" s="200" t="s">
        <v>75</v>
      </c>
      <c r="Y132" s="213" t="s">
        <v>75</v>
      </c>
      <c r="Z132" s="213" t="s">
        <v>75</v>
      </c>
      <c r="AA132" s="213" t="s">
        <v>75</v>
      </c>
      <c r="AB132" s="213" t="s">
        <v>75</v>
      </c>
      <c r="AC132" s="500"/>
    </row>
    <row r="133" spans="1:35" ht="16.2" customHeight="1" x14ac:dyDescent="0.25">
      <c r="A133" s="292"/>
      <c r="B133" s="217" t="s">
        <v>458</v>
      </c>
      <c r="C133" s="217" t="s">
        <v>459</v>
      </c>
      <c r="D133" s="216" t="s">
        <v>230</v>
      </c>
      <c r="E133" s="216" t="s">
        <v>230</v>
      </c>
      <c r="F133" s="300" t="s">
        <v>75</v>
      </c>
      <c r="G133" s="301" t="s">
        <v>75</v>
      </c>
      <c r="H133" s="301" t="s">
        <v>75</v>
      </c>
      <c r="I133" s="216" t="s">
        <v>75</v>
      </c>
      <c r="J133" s="216" t="s">
        <v>75</v>
      </c>
      <c r="K133" s="216"/>
      <c r="L133" s="216"/>
      <c r="M133" s="216" t="s">
        <v>230</v>
      </c>
      <c r="N133" s="216" t="s">
        <v>230</v>
      </c>
      <c r="O133" s="218" t="s">
        <v>75</v>
      </c>
      <c r="P133" s="216" t="s">
        <v>75</v>
      </c>
      <c r="Q133" s="216" t="s">
        <v>75</v>
      </c>
      <c r="R133" s="216" t="s">
        <v>75</v>
      </c>
      <c r="S133" s="216" t="s">
        <v>75</v>
      </c>
      <c r="T133" s="500"/>
      <c r="U133" s="295"/>
      <c r="V133" s="216" t="s">
        <v>230</v>
      </c>
      <c r="W133" s="216" t="s">
        <v>230</v>
      </c>
      <c r="X133" s="200" t="s">
        <v>75</v>
      </c>
      <c r="Y133" s="213" t="s">
        <v>75</v>
      </c>
      <c r="Z133" s="213" t="s">
        <v>75</v>
      </c>
      <c r="AA133" s="213" t="s">
        <v>75</v>
      </c>
      <c r="AB133" s="213" t="s">
        <v>75</v>
      </c>
      <c r="AC133" s="500"/>
    </row>
    <row r="134" spans="1:35" ht="16.2" customHeight="1" x14ac:dyDescent="0.25">
      <c r="A134" s="292"/>
      <c r="B134" s="217" t="s">
        <v>460</v>
      </c>
      <c r="C134" s="217" t="s">
        <v>461</v>
      </c>
      <c r="D134" s="216">
        <v>15</v>
      </c>
      <c r="E134" s="216" t="s">
        <v>230</v>
      </c>
      <c r="F134" s="218" t="s">
        <v>230</v>
      </c>
      <c r="G134" s="216">
        <v>60</v>
      </c>
      <c r="H134" s="216" t="s">
        <v>75</v>
      </c>
      <c r="I134" s="216" t="s">
        <v>75</v>
      </c>
      <c r="J134" s="216" t="s">
        <v>75</v>
      </c>
      <c r="K134" s="216"/>
      <c r="L134" s="216"/>
      <c r="M134" s="216">
        <v>15</v>
      </c>
      <c r="N134" s="216" t="s">
        <v>230</v>
      </c>
      <c r="O134" s="218" t="s">
        <v>230</v>
      </c>
      <c r="P134" s="216">
        <v>60</v>
      </c>
      <c r="Q134" s="216" t="s">
        <v>75</v>
      </c>
      <c r="R134" s="216" t="s">
        <v>75</v>
      </c>
      <c r="S134" s="216" t="s">
        <v>75</v>
      </c>
      <c r="T134" s="500"/>
      <c r="U134" s="295"/>
      <c r="V134" s="216" t="s">
        <v>230</v>
      </c>
      <c r="W134" s="216" t="s">
        <v>230</v>
      </c>
      <c r="X134" s="200" t="s">
        <v>230</v>
      </c>
      <c r="Y134" s="213" t="s">
        <v>75</v>
      </c>
      <c r="Z134" s="213" t="s">
        <v>75</v>
      </c>
      <c r="AA134" s="213" t="s">
        <v>75</v>
      </c>
      <c r="AB134" s="213" t="s">
        <v>75</v>
      </c>
      <c r="AC134" s="500"/>
    </row>
    <row r="135" spans="1:35" ht="16.2" customHeight="1" x14ac:dyDescent="0.25">
      <c r="A135" s="292"/>
      <c r="B135" s="217" t="s">
        <v>462</v>
      </c>
      <c r="C135" s="217" t="s">
        <v>463</v>
      </c>
      <c r="D135" s="216" t="s">
        <v>75</v>
      </c>
      <c r="E135" s="216" t="s">
        <v>75</v>
      </c>
      <c r="F135" s="218" t="s">
        <v>75</v>
      </c>
      <c r="G135" s="216" t="s">
        <v>230</v>
      </c>
      <c r="H135" s="216" t="s">
        <v>230</v>
      </c>
      <c r="I135" s="216" t="s">
        <v>75</v>
      </c>
      <c r="J135" s="216" t="s">
        <v>75</v>
      </c>
      <c r="K135" s="216"/>
      <c r="L135" s="216"/>
      <c r="M135" s="216" t="s">
        <v>75</v>
      </c>
      <c r="N135" s="216" t="s">
        <v>75</v>
      </c>
      <c r="O135" s="218" t="s">
        <v>75</v>
      </c>
      <c r="P135" s="216" t="s">
        <v>230</v>
      </c>
      <c r="Q135" s="216" t="s">
        <v>230</v>
      </c>
      <c r="R135" s="216" t="s">
        <v>75</v>
      </c>
      <c r="S135" s="216" t="s">
        <v>75</v>
      </c>
      <c r="T135" s="500"/>
      <c r="U135" s="295"/>
      <c r="V135" s="216" t="s">
        <v>75</v>
      </c>
      <c r="W135" s="216" t="s">
        <v>75</v>
      </c>
      <c r="X135" s="218" t="s">
        <v>75</v>
      </c>
      <c r="Y135" s="216" t="s">
        <v>230</v>
      </c>
      <c r="Z135" s="216" t="s">
        <v>230</v>
      </c>
      <c r="AA135" s="213" t="s">
        <v>75</v>
      </c>
      <c r="AB135" s="213" t="s">
        <v>75</v>
      </c>
      <c r="AC135" s="500"/>
    </row>
    <row r="136" spans="1:35" ht="16.2" customHeight="1" x14ac:dyDescent="0.25">
      <c r="A136" s="292"/>
      <c r="B136" s="217" t="s">
        <v>464</v>
      </c>
      <c r="C136" s="217" t="s">
        <v>465</v>
      </c>
      <c r="D136" s="216">
        <v>30</v>
      </c>
      <c r="E136" s="216">
        <v>25</v>
      </c>
      <c r="F136" s="218" t="s">
        <v>230</v>
      </c>
      <c r="G136" s="216" t="s">
        <v>230</v>
      </c>
      <c r="H136" s="216" t="s">
        <v>230</v>
      </c>
      <c r="I136" s="216" t="s">
        <v>75</v>
      </c>
      <c r="J136" s="216" t="s">
        <v>75</v>
      </c>
      <c r="K136" s="216"/>
      <c r="L136" s="216"/>
      <c r="M136" s="216">
        <v>30</v>
      </c>
      <c r="N136" s="216">
        <v>25</v>
      </c>
      <c r="O136" s="218" t="s">
        <v>230</v>
      </c>
      <c r="P136" s="216" t="s">
        <v>230</v>
      </c>
      <c r="Q136" s="216" t="s">
        <v>230</v>
      </c>
      <c r="R136" s="216" t="s">
        <v>75</v>
      </c>
      <c r="S136" s="216" t="s">
        <v>75</v>
      </c>
      <c r="T136" s="500"/>
      <c r="U136" s="295"/>
      <c r="V136" s="216" t="s">
        <v>230</v>
      </c>
      <c r="W136" s="216" t="s">
        <v>230</v>
      </c>
      <c r="X136" s="200" t="s">
        <v>230</v>
      </c>
      <c r="Y136" s="216" t="s">
        <v>75</v>
      </c>
      <c r="Z136" s="216" t="s">
        <v>230</v>
      </c>
      <c r="AA136" s="213" t="s">
        <v>75</v>
      </c>
      <c r="AB136" s="213" t="s">
        <v>75</v>
      </c>
      <c r="AC136" s="500"/>
    </row>
    <row r="137" spans="1:35" ht="16.2" customHeight="1" x14ac:dyDescent="0.25">
      <c r="A137" s="292"/>
      <c r="B137" s="217" t="s">
        <v>466</v>
      </c>
      <c r="C137" s="217" t="s">
        <v>467</v>
      </c>
      <c r="D137" s="216" t="s">
        <v>75</v>
      </c>
      <c r="E137" s="216" t="s">
        <v>75</v>
      </c>
      <c r="F137" s="218" t="s">
        <v>230</v>
      </c>
      <c r="G137" s="216" t="s">
        <v>230</v>
      </c>
      <c r="H137" s="216" t="s">
        <v>75</v>
      </c>
      <c r="I137" s="216" t="s">
        <v>75</v>
      </c>
      <c r="J137" s="216" t="s">
        <v>75</v>
      </c>
      <c r="K137" s="216"/>
      <c r="L137" s="216"/>
      <c r="M137" s="216" t="s">
        <v>75</v>
      </c>
      <c r="N137" s="216" t="s">
        <v>75</v>
      </c>
      <c r="O137" s="218" t="s">
        <v>230</v>
      </c>
      <c r="P137" s="216" t="s">
        <v>230</v>
      </c>
      <c r="Q137" s="216" t="s">
        <v>75</v>
      </c>
      <c r="R137" s="216" t="s">
        <v>75</v>
      </c>
      <c r="S137" s="216" t="s">
        <v>75</v>
      </c>
      <c r="T137" s="500"/>
      <c r="U137" s="295"/>
      <c r="V137" s="216" t="s">
        <v>75</v>
      </c>
      <c r="W137" s="216" t="s">
        <v>75</v>
      </c>
      <c r="X137" s="200" t="s">
        <v>230</v>
      </c>
      <c r="Y137" s="216" t="s">
        <v>75</v>
      </c>
      <c r="Z137" s="216" t="s">
        <v>75</v>
      </c>
      <c r="AA137" s="213" t="s">
        <v>75</v>
      </c>
      <c r="AB137" s="213" t="s">
        <v>75</v>
      </c>
      <c r="AC137" s="500"/>
    </row>
    <row r="138" spans="1:35" s="189" customFormat="1" ht="16.2" customHeight="1" x14ac:dyDescent="0.25">
      <c r="A138" s="292"/>
      <c r="B138" s="217" t="s">
        <v>468</v>
      </c>
      <c r="C138" s="217" t="s">
        <v>469</v>
      </c>
      <c r="D138" s="216" t="s">
        <v>230</v>
      </c>
      <c r="E138" s="216" t="s">
        <v>230</v>
      </c>
      <c r="F138" s="218" t="s">
        <v>230</v>
      </c>
      <c r="G138" s="216" t="s">
        <v>230</v>
      </c>
      <c r="H138" s="216" t="s">
        <v>75</v>
      </c>
      <c r="I138" s="216" t="s">
        <v>75</v>
      </c>
      <c r="J138" s="216" t="s">
        <v>75</v>
      </c>
      <c r="K138" s="216"/>
      <c r="L138" s="216"/>
      <c r="M138" s="216" t="s">
        <v>230</v>
      </c>
      <c r="N138" s="216" t="s">
        <v>230</v>
      </c>
      <c r="O138" s="218" t="s">
        <v>230</v>
      </c>
      <c r="P138" s="216" t="s">
        <v>230</v>
      </c>
      <c r="Q138" s="216" t="s">
        <v>75</v>
      </c>
      <c r="R138" s="216" t="s">
        <v>75</v>
      </c>
      <c r="S138" s="216" t="s">
        <v>75</v>
      </c>
      <c r="T138" s="500"/>
      <c r="U138" s="295"/>
      <c r="V138" s="216" t="s">
        <v>230</v>
      </c>
      <c r="W138" s="216" t="s">
        <v>230</v>
      </c>
      <c r="X138" s="200" t="s">
        <v>230</v>
      </c>
      <c r="Y138" s="216" t="s">
        <v>75</v>
      </c>
      <c r="Z138" s="216" t="s">
        <v>75</v>
      </c>
      <c r="AA138" s="213" t="s">
        <v>75</v>
      </c>
      <c r="AB138" s="213" t="s">
        <v>75</v>
      </c>
      <c r="AC138" s="500"/>
      <c r="AI138" s="184"/>
    </row>
    <row r="139" spans="1:35" ht="16.2" customHeight="1" x14ac:dyDescent="0.25">
      <c r="A139" s="292"/>
      <c r="B139" s="217" t="s">
        <v>470</v>
      </c>
      <c r="C139" s="217" t="s">
        <v>471</v>
      </c>
      <c r="D139" s="216" t="s">
        <v>230</v>
      </c>
      <c r="E139" s="216" t="s">
        <v>230</v>
      </c>
      <c r="F139" s="218" t="s">
        <v>230</v>
      </c>
      <c r="G139" s="216" t="s">
        <v>230</v>
      </c>
      <c r="H139" s="216" t="s">
        <v>75</v>
      </c>
      <c r="I139" s="216" t="s">
        <v>75</v>
      </c>
      <c r="J139" s="216" t="s">
        <v>75</v>
      </c>
      <c r="K139" s="216"/>
      <c r="L139" s="216"/>
      <c r="M139" s="216" t="s">
        <v>230</v>
      </c>
      <c r="N139" s="216" t="s">
        <v>230</v>
      </c>
      <c r="O139" s="218" t="s">
        <v>230</v>
      </c>
      <c r="P139" s="216" t="s">
        <v>230</v>
      </c>
      <c r="Q139" s="216" t="s">
        <v>75</v>
      </c>
      <c r="R139" s="216" t="s">
        <v>75</v>
      </c>
      <c r="S139" s="216" t="s">
        <v>75</v>
      </c>
      <c r="T139" s="500"/>
      <c r="U139" s="295"/>
      <c r="V139" s="216" t="s">
        <v>230</v>
      </c>
      <c r="W139" s="216" t="s">
        <v>230</v>
      </c>
      <c r="X139" s="200" t="s">
        <v>230</v>
      </c>
      <c r="Y139" s="216" t="s">
        <v>75</v>
      </c>
      <c r="Z139" s="216" t="s">
        <v>75</v>
      </c>
      <c r="AA139" s="213" t="s">
        <v>75</v>
      </c>
      <c r="AB139" s="213" t="s">
        <v>75</v>
      </c>
      <c r="AC139" s="500"/>
    </row>
    <row r="140" spans="1:35" ht="16.2" customHeight="1" x14ac:dyDescent="0.25">
      <c r="A140" s="292"/>
      <c r="B140" s="217" t="s">
        <v>472</v>
      </c>
      <c r="C140" s="217" t="s">
        <v>473</v>
      </c>
      <c r="D140" s="216" t="s">
        <v>230</v>
      </c>
      <c r="E140" s="216" t="s">
        <v>230</v>
      </c>
      <c r="F140" s="218" t="s">
        <v>230</v>
      </c>
      <c r="G140" s="216" t="s">
        <v>75</v>
      </c>
      <c r="H140" s="216" t="s">
        <v>75</v>
      </c>
      <c r="I140" s="216" t="s">
        <v>75</v>
      </c>
      <c r="J140" s="216" t="s">
        <v>75</v>
      </c>
      <c r="K140" s="216"/>
      <c r="L140" s="216"/>
      <c r="M140" s="216" t="s">
        <v>230</v>
      </c>
      <c r="N140" s="216" t="s">
        <v>230</v>
      </c>
      <c r="O140" s="218" t="s">
        <v>230</v>
      </c>
      <c r="P140" s="216" t="s">
        <v>75</v>
      </c>
      <c r="Q140" s="216" t="s">
        <v>75</v>
      </c>
      <c r="R140" s="216" t="s">
        <v>75</v>
      </c>
      <c r="S140" s="216" t="s">
        <v>75</v>
      </c>
      <c r="T140" s="500"/>
      <c r="U140" s="295"/>
      <c r="V140" s="216" t="s">
        <v>230</v>
      </c>
      <c r="W140" s="216" t="s">
        <v>230</v>
      </c>
      <c r="X140" s="200" t="s">
        <v>230</v>
      </c>
      <c r="Y140" s="213" t="s">
        <v>75</v>
      </c>
      <c r="Z140" s="213" t="s">
        <v>75</v>
      </c>
      <c r="AA140" s="213" t="s">
        <v>75</v>
      </c>
      <c r="AB140" s="213" t="s">
        <v>75</v>
      </c>
      <c r="AC140" s="500"/>
    </row>
    <row r="141" spans="1:35" ht="16.2" customHeight="1" x14ac:dyDescent="0.25">
      <c r="A141" s="292"/>
      <c r="B141" s="217" t="s">
        <v>474</v>
      </c>
      <c r="C141" s="217" t="s">
        <v>475</v>
      </c>
      <c r="D141" s="216" t="s">
        <v>230</v>
      </c>
      <c r="E141" s="216" t="s">
        <v>230</v>
      </c>
      <c r="F141" s="218" t="s">
        <v>230</v>
      </c>
      <c r="G141" s="216" t="s">
        <v>75</v>
      </c>
      <c r="H141" s="216" t="s">
        <v>75</v>
      </c>
      <c r="I141" s="216" t="s">
        <v>75</v>
      </c>
      <c r="J141" s="216" t="s">
        <v>75</v>
      </c>
      <c r="K141" s="216"/>
      <c r="L141" s="216"/>
      <c r="M141" s="216" t="s">
        <v>230</v>
      </c>
      <c r="N141" s="216" t="s">
        <v>230</v>
      </c>
      <c r="O141" s="218" t="s">
        <v>230</v>
      </c>
      <c r="P141" s="216" t="s">
        <v>75</v>
      </c>
      <c r="Q141" s="216" t="s">
        <v>75</v>
      </c>
      <c r="R141" s="216" t="s">
        <v>75</v>
      </c>
      <c r="S141" s="216" t="s">
        <v>75</v>
      </c>
      <c r="T141" s="500"/>
      <c r="U141" s="295"/>
      <c r="V141" s="216" t="s">
        <v>230</v>
      </c>
      <c r="W141" s="216" t="s">
        <v>230</v>
      </c>
      <c r="X141" s="200" t="s">
        <v>230</v>
      </c>
      <c r="Y141" s="213" t="s">
        <v>75</v>
      </c>
      <c r="Z141" s="213" t="s">
        <v>75</v>
      </c>
      <c r="AA141" s="213" t="s">
        <v>75</v>
      </c>
      <c r="AB141" s="213" t="s">
        <v>75</v>
      </c>
      <c r="AC141" s="500"/>
    </row>
    <row r="142" spans="1:35" ht="16.2" customHeight="1" x14ac:dyDescent="0.25">
      <c r="A142" s="292"/>
      <c r="B142" s="217" t="s">
        <v>476</v>
      </c>
      <c r="C142" s="217" t="s">
        <v>477</v>
      </c>
      <c r="D142" s="216" t="s">
        <v>230</v>
      </c>
      <c r="E142" s="216">
        <v>5</v>
      </c>
      <c r="F142" s="200" t="s">
        <v>230</v>
      </c>
      <c r="G142" s="216" t="s">
        <v>230</v>
      </c>
      <c r="H142" s="216" t="s">
        <v>230</v>
      </c>
      <c r="I142" s="216" t="s">
        <v>75</v>
      </c>
      <c r="J142" s="216" t="s">
        <v>75</v>
      </c>
      <c r="K142" s="216"/>
      <c r="L142" s="216"/>
      <c r="M142" s="216" t="s">
        <v>230</v>
      </c>
      <c r="N142" s="216">
        <v>5</v>
      </c>
      <c r="O142" s="218" t="s">
        <v>230</v>
      </c>
      <c r="P142" s="216" t="s">
        <v>230</v>
      </c>
      <c r="Q142" s="216" t="s">
        <v>230</v>
      </c>
      <c r="R142" s="216" t="s">
        <v>75</v>
      </c>
      <c r="S142" s="216" t="s">
        <v>75</v>
      </c>
      <c r="T142" s="500"/>
      <c r="U142" s="295"/>
      <c r="V142" s="216" t="s">
        <v>230</v>
      </c>
      <c r="W142" s="216" t="s">
        <v>230</v>
      </c>
      <c r="X142" s="200" t="s">
        <v>230</v>
      </c>
      <c r="Y142" s="216" t="s">
        <v>75</v>
      </c>
      <c r="Z142" s="216" t="s">
        <v>230</v>
      </c>
      <c r="AA142" s="213" t="s">
        <v>75</v>
      </c>
      <c r="AB142" s="213" t="s">
        <v>75</v>
      </c>
      <c r="AC142" s="500"/>
    </row>
    <row r="143" spans="1:35" ht="16.2" customHeight="1" x14ac:dyDescent="0.25">
      <c r="A143" s="292"/>
      <c r="B143" s="217" t="s">
        <v>478</v>
      </c>
      <c r="C143" s="217" t="s">
        <v>479</v>
      </c>
      <c r="D143" s="216" t="s">
        <v>75</v>
      </c>
      <c r="E143" s="216" t="s">
        <v>75</v>
      </c>
      <c r="F143" s="218" t="s">
        <v>230</v>
      </c>
      <c r="G143" s="216" t="s">
        <v>230</v>
      </c>
      <c r="H143" s="216" t="s">
        <v>230</v>
      </c>
      <c r="I143" s="216" t="s">
        <v>75</v>
      </c>
      <c r="J143" s="216" t="s">
        <v>75</v>
      </c>
      <c r="K143" s="216"/>
      <c r="L143" s="216"/>
      <c r="M143" s="216" t="s">
        <v>75</v>
      </c>
      <c r="N143" s="216" t="s">
        <v>75</v>
      </c>
      <c r="O143" s="218" t="s">
        <v>230</v>
      </c>
      <c r="P143" s="216" t="s">
        <v>230</v>
      </c>
      <c r="Q143" s="216" t="s">
        <v>230</v>
      </c>
      <c r="R143" s="216" t="s">
        <v>75</v>
      </c>
      <c r="S143" s="216" t="s">
        <v>75</v>
      </c>
      <c r="T143" s="500"/>
      <c r="U143" s="295"/>
      <c r="V143" s="216" t="s">
        <v>75</v>
      </c>
      <c r="W143" s="216" t="s">
        <v>75</v>
      </c>
      <c r="X143" s="200" t="s">
        <v>230</v>
      </c>
      <c r="Y143" s="216" t="s">
        <v>75</v>
      </c>
      <c r="Z143" s="216" t="s">
        <v>230</v>
      </c>
      <c r="AA143" s="213" t="s">
        <v>75</v>
      </c>
      <c r="AB143" s="213" t="s">
        <v>75</v>
      </c>
      <c r="AC143" s="500"/>
    </row>
    <row r="144" spans="1:35" ht="16.2" customHeight="1" x14ac:dyDescent="0.25">
      <c r="A144" s="292"/>
      <c r="B144" s="217" t="s">
        <v>480</v>
      </c>
      <c r="C144" s="217" t="s">
        <v>481</v>
      </c>
      <c r="D144" s="216" t="s">
        <v>230</v>
      </c>
      <c r="E144" s="216" t="s">
        <v>230</v>
      </c>
      <c r="F144" s="218" t="s">
        <v>230</v>
      </c>
      <c r="G144" s="216" t="s">
        <v>230</v>
      </c>
      <c r="H144" s="216" t="s">
        <v>75</v>
      </c>
      <c r="I144" s="216" t="s">
        <v>75</v>
      </c>
      <c r="J144" s="216" t="s">
        <v>75</v>
      </c>
      <c r="K144" s="216"/>
      <c r="L144" s="216"/>
      <c r="M144" s="216" t="s">
        <v>230</v>
      </c>
      <c r="N144" s="216" t="s">
        <v>230</v>
      </c>
      <c r="O144" s="218" t="s">
        <v>230</v>
      </c>
      <c r="P144" s="216" t="s">
        <v>230</v>
      </c>
      <c r="Q144" s="216" t="s">
        <v>75</v>
      </c>
      <c r="R144" s="216" t="s">
        <v>75</v>
      </c>
      <c r="S144" s="216" t="s">
        <v>75</v>
      </c>
      <c r="T144" s="500"/>
      <c r="U144" s="295"/>
      <c r="V144" s="216" t="s">
        <v>230</v>
      </c>
      <c r="W144" s="216" t="s">
        <v>230</v>
      </c>
      <c r="X144" s="200" t="s">
        <v>230</v>
      </c>
      <c r="Y144" s="216" t="s">
        <v>75</v>
      </c>
      <c r="Z144" s="216" t="s">
        <v>75</v>
      </c>
      <c r="AA144" s="213" t="s">
        <v>75</v>
      </c>
      <c r="AB144" s="213" t="s">
        <v>75</v>
      </c>
      <c r="AC144" s="500"/>
    </row>
    <row r="145" spans="1:35" ht="16.2" customHeight="1" x14ac:dyDescent="0.25">
      <c r="A145" s="292"/>
      <c r="B145" s="217" t="s">
        <v>482</v>
      </c>
      <c r="C145" s="217" t="s">
        <v>483</v>
      </c>
      <c r="D145" s="216" t="s">
        <v>75</v>
      </c>
      <c r="E145" s="216" t="s">
        <v>75</v>
      </c>
      <c r="F145" s="218" t="s">
        <v>75</v>
      </c>
      <c r="G145" s="216" t="s">
        <v>230</v>
      </c>
      <c r="H145" s="216" t="s">
        <v>75</v>
      </c>
      <c r="I145" s="216" t="s">
        <v>75</v>
      </c>
      <c r="J145" s="216" t="s">
        <v>75</v>
      </c>
      <c r="K145" s="216"/>
      <c r="L145" s="216"/>
      <c r="M145" s="216" t="s">
        <v>75</v>
      </c>
      <c r="N145" s="216" t="s">
        <v>75</v>
      </c>
      <c r="O145" s="218" t="s">
        <v>75</v>
      </c>
      <c r="P145" s="216" t="s">
        <v>230</v>
      </c>
      <c r="Q145" s="216" t="s">
        <v>75</v>
      </c>
      <c r="R145" s="216" t="s">
        <v>75</v>
      </c>
      <c r="S145" s="216" t="s">
        <v>75</v>
      </c>
      <c r="T145" s="500"/>
      <c r="U145" s="295"/>
      <c r="V145" s="216" t="s">
        <v>75</v>
      </c>
      <c r="W145" s="216" t="s">
        <v>75</v>
      </c>
      <c r="X145" s="218" t="s">
        <v>75</v>
      </c>
      <c r="Y145" s="216" t="s">
        <v>75</v>
      </c>
      <c r="Z145" s="216" t="s">
        <v>75</v>
      </c>
      <c r="AA145" s="213" t="s">
        <v>75</v>
      </c>
      <c r="AB145" s="213" t="s">
        <v>75</v>
      </c>
      <c r="AC145" s="500"/>
    </row>
    <row r="146" spans="1:35" ht="16.2" customHeight="1" x14ac:dyDescent="0.25">
      <c r="A146" s="284"/>
      <c r="B146" s="217" t="s">
        <v>484</v>
      </c>
      <c r="C146" s="217" t="s">
        <v>485</v>
      </c>
      <c r="D146" s="216" t="s">
        <v>230</v>
      </c>
      <c r="E146" s="216" t="s">
        <v>230</v>
      </c>
      <c r="F146" s="218" t="s">
        <v>230</v>
      </c>
      <c r="G146" s="216">
        <v>65</v>
      </c>
      <c r="H146" s="216" t="s">
        <v>75</v>
      </c>
      <c r="I146" s="216" t="s">
        <v>75</v>
      </c>
      <c r="J146" s="216" t="s">
        <v>75</v>
      </c>
      <c r="K146" s="216"/>
      <c r="L146" s="216"/>
      <c r="M146" s="216" t="s">
        <v>230</v>
      </c>
      <c r="N146" s="216" t="s">
        <v>230</v>
      </c>
      <c r="O146" s="218" t="s">
        <v>230</v>
      </c>
      <c r="P146" s="216">
        <v>65</v>
      </c>
      <c r="Q146" s="216" t="s">
        <v>75</v>
      </c>
      <c r="R146" s="216" t="s">
        <v>75</v>
      </c>
      <c r="S146" s="216" t="s">
        <v>75</v>
      </c>
      <c r="T146" s="500"/>
      <c r="U146" s="295"/>
      <c r="V146" s="216" t="s">
        <v>230</v>
      </c>
      <c r="W146" s="216" t="s">
        <v>230</v>
      </c>
      <c r="X146" s="200" t="s">
        <v>230</v>
      </c>
      <c r="Y146" s="213" t="s">
        <v>75</v>
      </c>
      <c r="Z146" s="213" t="s">
        <v>75</v>
      </c>
      <c r="AA146" s="213" t="s">
        <v>75</v>
      </c>
      <c r="AB146" s="213" t="s">
        <v>75</v>
      </c>
      <c r="AC146" s="500"/>
    </row>
    <row r="147" spans="1:35" ht="16.2" customHeight="1" x14ac:dyDescent="0.25">
      <c r="A147" s="284"/>
      <c r="B147" s="219"/>
      <c r="C147" s="219"/>
      <c r="D147" s="213"/>
      <c r="E147" s="213"/>
      <c r="F147" s="218"/>
      <c r="G147" s="216"/>
      <c r="H147" s="216"/>
      <c r="I147" s="216"/>
      <c r="J147" s="216"/>
      <c r="K147" s="561"/>
      <c r="L147" s="216"/>
      <c r="M147" s="213"/>
      <c r="N147" s="213"/>
      <c r="O147" s="297"/>
      <c r="P147" s="295"/>
      <c r="Q147" s="295"/>
      <c r="R147" s="216"/>
      <c r="S147" s="216"/>
      <c r="T147" s="563"/>
      <c r="U147" s="295"/>
      <c r="V147" s="213"/>
      <c r="W147" s="213"/>
      <c r="X147" s="218"/>
      <c r="Y147" s="216"/>
      <c r="Z147" s="216"/>
      <c r="AA147" s="213"/>
      <c r="AB147" s="213"/>
      <c r="AC147" s="563"/>
    </row>
    <row r="148" spans="1:35" ht="16.2" customHeight="1" x14ac:dyDescent="0.25">
      <c r="A148" s="201" t="s">
        <v>486</v>
      </c>
      <c r="B148" s="192"/>
      <c r="C148" s="217"/>
      <c r="D148" s="295"/>
      <c r="E148" s="295"/>
      <c r="F148" s="218"/>
      <c r="G148" s="216"/>
      <c r="H148" s="216"/>
      <c r="I148" s="216"/>
      <c r="J148" s="216"/>
      <c r="K148" s="561"/>
      <c r="L148" s="216"/>
      <c r="M148" s="295"/>
      <c r="N148" s="295"/>
      <c r="O148" s="218"/>
      <c r="P148" s="216"/>
      <c r="Q148" s="216"/>
      <c r="R148" s="216"/>
      <c r="S148" s="216"/>
      <c r="T148" s="563"/>
      <c r="U148" s="295"/>
      <c r="V148" s="295"/>
      <c r="W148" s="295"/>
      <c r="X148" s="218"/>
      <c r="Y148" s="216"/>
      <c r="Z148" s="216"/>
      <c r="AA148" s="213"/>
      <c r="AB148" s="213"/>
      <c r="AC148" s="563"/>
    </row>
    <row r="149" spans="1:35" ht="16.2" customHeight="1" x14ac:dyDescent="0.25">
      <c r="A149" s="292"/>
      <c r="B149" s="217" t="s">
        <v>487</v>
      </c>
      <c r="C149" s="217" t="s">
        <v>488</v>
      </c>
      <c r="D149" s="216" t="s">
        <v>230</v>
      </c>
      <c r="E149" s="216" t="s">
        <v>230</v>
      </c>
      <c r="F149" s="297" t="s">
        <v>75</v>
      </c>
      <c r="G149" s="295" t="s">
        <v>75</v>
      </c>
      <c r="H149" s="295" t="s">
        <v>75</v>
      </c>
      <c r="I149" s="216" t="s">
        <v>75</v>
      </c>
      <c r="J149" s="216" t="s">
        <v>75</v>
      </c>
      <c r="K149" s="500"/>
      <c r="L149" s="216"/>
      <c r="M149" s="216" t="s">
        <v>230</v>
      </c>
      <c r="N149" s="216" t="s">
        <v>230</v>
      </c>
      <c r="O149" s="218" t="s">
        <v>75</v>
      </c>
      <c r="P149" s="216" t="s">
        <v>75</v>
      </c>
      <c r="Q149" s="216" t="s">
        <v>75</v>
      </c>
      <c r="R149" s="216" t="s">
        <v>75</v>
      </c>
      <c r="S149" s="216" t="s">
        <v>75</v>
      </c>
      <c r="T149" s="500"/>
      <c r="U149" s="295"/>
      <c r="V149" s="216" t="s">
        <v>230</v>
      </c>
      <c r="W149" s="216" t="s">
        <v>230</v>
      </c>
      <c r="X149" s="218" t="s">
        <v>75</v>
      </c>
      <c r="Y149" s="216" t="s">
        <v>75</v>
      </c>
      <c r="Z149" s="216" t="s">
        <v>75</v>
      </c>
      <c r="AA149" s="213" t="s">
        <v>75</v>
      </c>
      <c r="AB149" s="213" t="s">
        <v>75</v>
      </c>
      <c r="AC149" s="500"/>
    </row>
    <row r="150" spans="1:35" ht="16.2" customHeight="1" x14ac:dyDescent="0.25">
      <c r="A150" s="292"/>
      <c r="B150" s="217" t="s">
        <v>489</v>
      </c>
      <c r="C150" s="217" t="s">
        <v>490</v>
      </c>
      <c r="D150" s="216">
        <v>200</v>
      </c>
      <c r="E150" s="216">
        <v>170</v>
      </c>
      <c r="F150" s="218" t="s">
        <v>75</v>
      </c>
      <c r="G150" s="216" t="s">
        <v>75</v>
      </c>
      <c r="H150" s="216" t="s">
        <v>75</v>
      </c>
      <c r="I150" s="216" t="s">
        <v>75</v>
      </c>
      <c r="J150" s="216" t="s">
        <v>75</v>
      </c>
      <c r="K150" s="216"/>
      <c r="L150" s="216"/>
      <c r="M150" s="216">
        <v>200</v>
      </c>
      <c r="N150" s="216">
        <v>170</v>
      </c>
      <c r="O150" s="200" t="s">
        <v>75</v>
      </c>
      <c r="P150" s="213" t="s">
        <v>75</v>
      </c>
      <c r="Q150" s="213" t="s">
        <v>75</v>
      </c>
      <c r="R150" s="216" t="s">
        <v>75</v>
      </c>
      <c r="S150" s="216" t="s">
        <v>75</v>
      </c>
      <c r="T150" s="500"/>
      <c r="U150" s="295"/>
      <c r="V150" s="216" t="s">
        <v>230</v>
      </c>
      <c r="W150" s="216" t="s">
        <v>230</v>
      </c>
      <c r="X150" s="200" t="s">
        <v>75</v>
      </c>
      <c r="Y150" s="213" t="s">
        <v>75</v>
      </c>
      <c r="Z150" s="213" t="s">
        <v>75</v>
      </c>
      <c r="AA150" s="213" t="s">
        <v>75</v>
      </c>
      <c r="AB150" s="213" t="s">
        <v>75</v>
      </c>
      <c r="AC150" s="500"/>
    </row>
    <row r="151" spans="1:35" s="189" customFormat="1" ht="16.2" customHeight="1" x14ac:dyDescent="0.25">
      <c r="A151" s="292"/>
      <c r="B151" s="217" t="s">
        <v>255</v>
      </c>
      <c r="C151" s="217" t="s">
        <v>256</v>
      </c>
      <c r="D151" s="216">
        <v>105</v>
      </c>
      <c r="E151" s="216">
        <v>90</v>
      </c>
      <c r="F151" s="218">
        <v>10</v>
      </c>
      <c r="G151" s="216">
        <v>20</v>
      </c>
      <c r="H151" s="216">
        <v>15</v>
      </c>
      <c r="I151" s="216" t="s">
        <v>75</v>
      </c>
      <c r="J151" s="216" t="s">
        <v>75</v>
      </c>
      <c r="K151" s="216"/>
      <c r="L151" s="188"/>
      <c r="M151" s="216">
        <v>60</v>
      </c>
      <c r="N151" s="216">
        <v>50</v>
      </c>
      <c r="O151" s="218" t="s">
        <v>230</v>
      </c>
      <c r="P151" s="216" t="s">
        <v>230</v>
      </c>
      <c r="Q151" s="216" t="s">
        <v>230</v>
      </c>
      <c r="R151" s="216" t="s">
        <v>75</v>
      </c>
      <c r="S151" s="216" t="s">
        <v>75</v>
      </c>
      <c r="T151" s="500"/>
      <c r="U151" s="187"/>
      <c r="V151" s="216">
        <v>45</v>
      </c>
      <c r="W151" s="216">
        <v>40</v>
      </c>
      <c r="X151" s="200" t="s">
        <v>230</v>
      </c>
      <c r="Y151" s="213" t="s">
        <v>230</v>
      </c>
      <c r="Z151" s="213" t="s">
        <v>230</v>
      </c>
      <c r="AA151" s="213" t="s">
        <v>75</v>
      </c>
      <c r="AB151" s="213" t="s">
        <v>75</v>
      </c>
      <c r="AC151" s="500"/>
      <c r="AI151" s="184"/>
    </row>
    <row r="152" spans="1:35" s="189" customFormat="1" ht="16.2" customHeight="1" x14ac:dyDescent="0.25">
      <c r="A152" s="292"/>
      <c r="B152" s="217" t="s">
        <v>263</v>
      </c>
      <c r="C152" s="217" t="s">
        <v>264</v>
      </c>
      <c r="D152" s="216">
        <v>200</v>
      </c>
      <c r="E152" s="216">
        <v>230</v>
      </c>
      <c r="F152" s="218">
        <v>245</v>
      </c>
      <c r="G152" s="216">
        <v>270</v>
      </c>
      <c r="H152" s="216">
        <v>265</v>
      </c>
      <c r="I152" s="216" t="s">
        <v>75</v>
      </c>
      <c r="J152" s="216" t="s">
        <v>75</v>
      </c>
      <c r="K152" s="216"/>
      <c r="L152" s="188"/>
      <c r="M152" s="216">
        <v>130</v>
      </c>
      <c r="N152" s="216">
        <v>160</v>
      </c>
      <c r="O152" s="218">
        <v>180</v>
      </c>
      <c r="P152" s="216">
        <v>155</v>
      </c>
      <c r="Q152" s="216">
        <v>160</v>
      </c>
      <c r="R152" s="216" t="s">
        <v>75</v>
      </c>
      <c r="S152" s="216" t="s">
        <v>75</v>
      </c>
      <c r="T152" s="500"/>
      <c r="U152" s="187"/>
      <c r="V152" s="216">
        <v>70</v>
      </c>
      <c r="W152" s="216">
        <v>70</v>
      </c>
      <c r="X152" s="200">
        <v>65</v>
      </c>
      <c r="Y152" s="213">
        <v>110</v>
      </c>
      <c r="Z152" s="213">
        <v>100</v>
      </c>
      <c r="AA152" s="213" t="s">
        <v>75</v>
      </c>
      <c r="AB152" s="213" t="s">
        <v>75</v>
      </c>
      <c r="AC152" s="500"/>
      <c r="AI152" s="184"/>
    </row>
    <row r="153" spans="1:35" s="189" customFormat="1" ht="16.2" customHeight="1" x14ac:dyDescent="0.25">
      <c r="A153" s="292"/>
      <c r="B153" s="217" t="s">
        <v>265</v>
      </c>
      <c r="C153" s="217" t="s">
        <v>266</v>
      </c>
      <c r="D153" s="216">
        <v>75</v>
      </c>
      <c r="E153" s="216">
        <v>90</v>
      </c>
      <c r="F153" s="200">
        <v>40</v>
      </c>
      <c r="G153" s="213">
        <v>50</v>
      </c>
      <c r="H153" s="213">
        <v>20</v>
      </c>
      <c r="I153" s="216">
        <v>40</v>
      </c>
      <c r="J153" s="216" t="s">
        <v>75</v>
      </c>
      <c r="K153" s="216"/>
      <c r="L153" s="188"/>
      <c r="M153" s="216">
        <v>35</v>
      </c>
      <c r="N153" s="216">
        <v>50</v>
      </c>
      <c r="O153" s="218">
        <v>40</v>
      </c>
      <c r="P153" s="216">
        <v>50</v>
      </c>
      <c r="Q153" s="216">
        <v>20</v>
      </c>
      <c r="R153" s="216">
        <v>40</v>
      </c>
      <c r="S153" s="216" t="s">
        <v>75</v>
      </c>
      <c r="T153" s="500"/>
      <c r="U153" s="187"/>
      <c r="V153" s="216">
        <v>35</v>
      </c>
      <c r="W153" s="216">
        <v>40</v>
      </c>
      <c r="X153" s="200" t="s">
        <v>230</v>
      </c>
      <c r="Y153" s="213" t="s">
        <v>230</v>
      </c>
      <c r="Z153" s="213" t="s">
        <v>230</v>
      </c>
      <c r="AA153" s="213" t="s">
        <v>75</v>
      </c>
      <c r="AB153" s="213" t="s">
        <v>75</v>
      </c>
      <c r="AC153" s="500"/>
      <c r="AI153" s="184"/>
    </row>
    <row r="154" spans="1:35" s="189" customFormat="1" ht="16.2" customHeight="1" x14ac:dyDescent="0.25">
      <c r="A154" s="292"/>
      <c r="B154" s="217" t="s">
        <v>271</v>
      </c>
      <c r="C154" s="217" t="s">
        <v>272</v>
      </c>
      <c r="D154" s="216">
        <v>10</v>
      </c>
      <c r="E154" s="216">
        <v>15</v>
      </c>
      <c r="F154" s="218" t="s">
        <v>230</v>
      </c>
      <c r="G154" s="216">
        <v>10</v>
      </c>
      <c r="H154" s="216" t="s">
        <v>230</v>
      </c>
      <c r="I154" s="216" t="s">
        <v>75</v>
      </c>
      <c r="J154" s="216" t="s">
        <v>75</v>
      </c>
      <c r="K154" s="216"/>
      <c r="L154" s="188"/>
      <c r="M154" s="216">
        <v>10</v>
      </c>
      <c r="N154" s="216">
        <v>15</v>
      </c>
      <c r="O154" s="218" t="s">
        <v>230</v>
      </c>
      <c r="P154" s="216">
        <v>10</v>
      </c>
      <c r="Q154" s="216" t="s">
        <v>230</v>
      </c>
      <c r="R154" s="216" t="s">
        <v>75</v>
      </c>
      <c r="S154" s="216" t="s">
        <v>75</v>
      </c>
      <c r="T154" s="500"/>
      <c r="U154" s="187"/>
      <c r="V154" s="216" t="s">
        <v>230</v>
      </c>
      <c r="W154" s="216" t="s">
        <v>230</v>
      </c>
      <c r="X154" s="200" t="s">
        <v>230</v>
      </c>
      <c r="Y154" s="213" t="s">
        <v>230</v>
      </c>
      <c r="Z154" s="213" t="s">
        <v>230</v>
      </c>
      <c r="AA154" s="213" t="s">
        <v>75</v>
      </c>
      <c r="AB154" s="213" t="s">
        <v>75</v>
      </c>
      <c r="AC154" s="500"/>
      <c r="AI154" s="184"/>
    </row>
    <row r="155" spans="1:35" ht="16.2" customHeight="1" x14ac:dyDescent="0.25">
      <c r="A155" s="292"/>
      <c r="B155" s="217" t="s">
        <v>491</v>
      </c>
      <c r="C155" s="217" t="s">
        <v>492</v>
      </c>
      <c r="D155" s="216" t="s">
        <v>230</v>
      </c>
      <c r="E155" s="216" t="s">
        <v>230</v>
      </c>
      <c r="F155" s="218" t="s">
        <v>75</v>
      </c>
      <c r="G155" s="216" t="s">
        <v>75</v>
      </c>
      <c r="H155" s="216" t="s">
        <v>75</v>
      </c>
      <c r="I155" s="216" t="s">
        <v>75</v>
      </c>
      <c r="J155" s="216" t="s">
        <v>75</v>
      </c>
      <c r="K155" s="216"/>
      <c r="L155" s="216"/>
      <c r="M155" s="216" t="s">
        <v>230</v>
      </c>
      <c r="N155" s="216" t="s">
        <v>230</v>
      </c>
      <c r="O155" s="218" t="s">
        <v>75</v>
      </c>
      <c r="P155" s="216" t="s">
        <v>75</v>
      </c>
      <c r="Q155" s="216" t="s">
        <v>75</v>
      </c>
      <c r="R155" s="216" t="s">
        <v>75</v>
      </c>
      <c r="S155" s="216" t="s">
        <v>75</v>
      </c>
      <c r="T155" s="500"/>
      <c r="U155" s="295"/>
      <c r="V155" s="216" t="s">
        <v>230</v>
      </c>
      <c r="W155" s="216" t="s">
        <v>230</v>
      </c>
      <c r="X155" s="218" t="s">
        <v>75</v>
      </c>
      <c r="Y155" s="216" t="s">
        <v>75</v>
      </c>
      <c r="Z155" s="216" t="s">
        <v>75</v>
      </c>
      <c r="AA155" s="213" t="s">
        <v>75</v>
      </c>
      <c r="AB155" s="213" t="s">
        <v>75</v>
      </c>
      <c r="AC155" s="500"/>
    </row>
    <row r="156" spans="1:35" s="189" customFormat="1" ht="16.2" customHeight="1" x14ac:dyDescent="0.25">
      <c r="A156" s="284"/>
      <c r="B156" s="217" t="s">
        <v>499</v>
      </c>
      <c r="C156" s="217" t="s">
        <v>500</v>
      </c>
      <c r="D156" s="216">
        <v>265</v>
      </c>
      <c r="E156" s="216">
        <v>300</v>
      </c>
      <c r="F156" s="200">
        <v>260</v>
      </c>
      <c r="G156" s="213" t="s">
        <v>75</v>
      </c>
      <c r="H156" s="213" t="s">
        <v>75</v>
      </c>
      <c r="I156" s="216" t="s">
        <v>75</v>
      </c>
      <c r="J156" s="216" t="s">
        <v>75</v>
      </c>
      <c r="K156" s="216"/>
      <c r="L156" s="188"/>
      <c r="M156" s="216">
        <v>160</v>
      </c>
      <c r="N156" s="216">
        <v>190</v>
      </c>
      <c r="O156" s="218">
        <v>175</v>
      </c>
      <c r="P156" s="216" t="s">
        <v>75</v>
      </c>
      <c r="Q156" s="216" t="s">
        <v>75</v>
      </c>
      <c r="R156" s="216" t="s">
        <v>75</v>
      </c>
      <c r="S156" s="216" t="s">
        <v>75</v>
      </c>
      <c r="T156" s="500"/>
      <c r="U156" s="188"/>
      <c r="V156" s="216">
        <v>105</v>
      </c>
      <c r="W156" s="216">
        <v>110</v>
      </c>
      <c r="X156" s="200">
        <v>85</v>
      </c>
      <c r="Y156" s="213" t="s">
        <v>75</v>
      </c>
      <c r="Z156" s="213" t="s">
        <v>75</v>
      </c>
      <c r="AA156" s="213" t="s">
        <v>75</v>
      </c>
      <c r="AB156" s="213" t="s">
        <v>75</v>
      </c>
      <c r="AC156" s="500"/>
      <c r="AI156" s="184"/>
    </row>
    <row r="157" spans="1:35" ht="16.2" customHeight="1" x14ac:dyDescent="0.25">
      <c r="A157" s="292"/>
      <c r="B157" s="217" t="s">
        <v>493</v>
      </c>
      <c r="C157" s="217" t="s">
        <v>494</v>
      </c>
      <c r="D157" s="216" t="s">
        <v>230</v>
      </c>
      <c r="E157" s="216" t="s">
        <v>230</v>
      </c>
      <c r="F157" s="218" t="s">
        <v>75</v>
      </c>
      <c r="G157" s="216" t="s">
        <v>75</v>
      </c>
      <c r="H157" s="216" t="s">
        <v>75</v>
      </c>
      <c r="I157" s="216" t="s">
        <v>75</v>
      </c>
      <c r="J157" s="216" t="s">
        <v>75</v>
      </c>
      <c r="K157" s="216"/>
      <c r="L157" s="216"/>
      <c r="M157" s="216" t="s">
        <v>230</v>
      </c>
      <c r="N157" s="216" t="s">
        <v>230</v>
      </c>
      <c r="O157" s="218" t="s">
        <v>75</v>
      </c>
      <c r="P157" s="216" t="s">
        <v>75</v>
      </c>
      <c r="Q157" s="216" t="s">
        <v>75</v>
      </c>
      <c r="R157" s="216" t="s">
        <v>75</v>
      </c>
      <c r="S157" s="216" t="s">
        <v>75</v>
      </c>
      <c r="T157" s="500"/>
      <c r="U157" s="295"/>
      <c r="V157" s="216" t="s">
        <v>230</v>
      </c>
      <c r="W157" s="216" t="s">
        <v>230</v>
      </c>
      <c r="X157" s="218" t="s">
        <v>75</v>
      </c>
      <c r="Y157" s="216" t="s">
        <v>75</v>
      </c>
      <c r="Z157" s="216" t="s">
        <v>75</v>
      </c>
      <c r="AA157" s="213" t="s">
        <v>75</v>
      </c>
      <c r="AB157" s="213" t="s">
        <v>75</v>
      </c>
      <c r="AC157" s="500"/>
    </row>
    <row r="158" spans="1:35" s="189" customFormat="1" ht="16.2" customHeight="1" x14ac:dyDescent="0.25">
      <c r="B158" s="217" t="s">
        <v>299</v>
      </c>
      <c r="C158" s="217" t="s">
        <v>300</v>
      </c>
      <c r="D158" s="216">
        <v>195</v>
      </c>
      <c r="E158" s="216">
        <v>180</v>
      </c>
      <c r="F158" s="218">
        <v>115</v>
      </c>
      <c r="G158" s="216" t="s">
        <v>75</v>
      </c>
      <c r="H158" s="216" t="s">
        <v>75</v>
      </c>
      <c r="I158" s="216" t="s">
        <v>75</v>
      </c>
      <c r="J158" s="216" t="s">
        <v>75</v>
      </c>
      <c r="K158" s="216"/>
      <c r="L158" s="188"/>
      <c r="M158" s="216">
        <v>140</v>
      </c>
      <c r="N158" s="216">
        <v>125</v>
      </c>
      <c r="O158" s="218">
        <v>110</v>
      </c>
      <c r="P158" s="216" t="s">
        <v>75</v>
      </c>
      <c r="Q158" s="216" t="s">
        <v>75</v>
      </c>
      <c r="R158" s="216" t="s">
        <v>75</v>
      </c>
      <c r="S158" s="216" t="s">
        <v>75</v>
      </c>
      <c r="T158" s="500"/>
      <c r="U158" s="188"/>
      <c r="V158" s="216">
        <v>55</v>
      </c>
      <c r="W158" s="216">
        <v>55</v>
      </c>
      <c r="X158" s="200">
        <v>10</v>
      </c>
      <c r="Y158" s="213" t="s">
        <v>75</v>
      </c>
      <c r="Z158" s="213" t="s">
        <v>75</v>
      </c>
      <c r="AA158" s="213" t="s">
        <v>75</v>
      </c>
      <c r="AB158" s="213" t="s">
        <v>75</v>
      </c>
      <c r="AC158" s="500"/>
      <c r="AI158" s="184"/>
    </row>
    <row r="159" spans="1:35" s="189" customFormat="1" ht="16.2" customHeight="1" x14ac:dyDescent="0.25">
      <c r="A159" s="284"/>
      <c r="B159" s="217" t="s">
        <v>495</v>
      </c>
      <c r="C159" s="217" t="s">
        <v>496</v>
      </c>
      <c r="D159" s="216" t="s">
        <v>230</v>
      </c>
      <c r="E159" s="216" t="s">
        <v>230</v>
      </c>
      <c r="F159" s="200" t="s">
        <v>75</v>
      </c>
      <c r="G159" s="213" t="s">
        <v>75</v>
      </c>
      <c r="H159" s="213" t="s">
        <v>75</v>
      </c>
      <c r="I159" s="216" t="s">
        <v>75</v>
      </c>
      <c r="J159" s="216" t="s">
        <v>75</v>
      </c>
      <c r="K159" s="216"/>
      <c r="L159" s="216"/>
      <c r="M159" s="216" t="s">
        <v>230</v>
      </c>
      <c r="N159" s="216" t="s">
        <v>230</v>
      </c>
      <c r="O159" s="218" t="s">
        <v>75</v>
      </c>
      <c r="P159" s="216" t="s">
        <v>75</v>
      </c>
      <c r="Q159" s="216" t="s">
        <v>75</v>
      </c>
      <c r="R159" s="216" t="s">
        <v>75</v>
      </c>
      <c r="S159" s="216" t="s">
        <v>75</v>
      </c>
      <c r="T159" s="500"/>
      <c r="U159" s="213"/>
      <c r="V159" s="216" t="s">
        <v>230</v>
      </c>
      <c r="W159" s="216" t="s">
        <v>230</v>
      </c>
      <c r="X159" s="218" t="s">
        <v>75</v>
      </c>
      <c r="Y159" s="216" t="s">
        <v>75</v>
      </c>
      <c r="Z159" s="216" t="s">
        <v>75</v>
      </c>
      <c r="AA159" s="213" t="s">
        <v>75</v>
      </c>
      <c r="AB159" s="213" t="s">
        <v>75</v>
      </c>
      <c r="AC159" s="500"/>
      <c r="AI159" s="184"/>
    </row>
    <row r="160" spans="1:35" s="189" customFormat="1" ht="16.2" customHeight="1" x14ac:dyDescent="0.25">
      <c r="A160" s="292"/>
      <c r="B160" s="217" t="s">
        <v>497</v>
      </c>
      <c r="C160" s="217" t="s">
        <v>498</v>
      </c>
      <c r="D160" s="216">
        <v>345</v>
      </c>
      <c r="E160" s="216">
        <v>260</v>
      </c>
      <c r="F160" s="218" t="s">
        <v>75</v>
      </c>
      <c r="G160" s="216" t="s">
        <v>75</v>
      </c>
      <c r="H160" s="216" t="s">
        <v>75</v>
      </c>
      <c r="I160" s="216" t="s">
        <v>75</v>
      </c>
      <c r="J160" s="216" t="s">
        <v>75</v>
      </c>
      <c r="K160" s="216"/>
      <c r="L160" s="188"/>
      <c r="M160" s="216">
        <v>205</v>
      </c>
      <c r="N160" s="216">
        <v>205</v>
      </c>
      <c r="O160" s="218" t="s">
        <v>75</v>
      </c>
      <c r="P160" s="216" t="s">
        <v>75</v>
      </c>
      <c r="Q160" s="216" t="s">
        <v>75</v>
      </c>
      <c r="R160" s="216" t="s">
        <v>75</v>
      </c>
      <c r="S160" s="216" t="s">
        <v>75</v>
      </c>
      <c r="T160" s="500"/>
      <c r="U160" s="188"/>
      <c r="V160" s="216">
        <v>140</v>
      </c>
      <c r="W160" s="216">
        <v>55</v>
      </c>
      <c r="X160" s="200" t="s">
        <v>75</v>
      </c>
      <c r="Y160" s="213" t="s">
        <v>75</v>
      </c>
      <c r="Z160" s="213" t="s">
        <v>75</v>
      </c>
      <c r="AA160" s="213" t="s">
        <v>75</v>
      </c>
      <c r="AB160" s="213" t="s">
        <v>75</v>
      </c>
      <c r="AC160" s="500"/>
      <c r="AI160" s="184"/>
    </row>
    <row r="161" spans="1:35" s="189" customFormat="1" ht="16.2" customHeight="1" x14ac:dyDescent="0.25">
      <c r="A161" s="292"/>
      <c r="B161" s="217"/>
      <c r="C161" s="217"/>
      <c r="D161" s="216"/>
      <c r="E161" s="216"/>
      <c r="F161" s="218"/>
      <c r="G161" s="216"/>
      <c r="H161" s="216"/>
      <c r="I161" s="216"/>
      <c r="J161" s="216"/>
      <c r="K161" s="562"/>
      <c r="L161" s="188"/>
      <c r="M161" s="216"/>
      <c r="N161" s="216"/>
      <c r="O161" s="218"/>
      <c r="P161" s="216"/>
      <c r="Q161" s="216"/>
      <c r="R161" s="216"/>
      <c r="S161" s="216"/>
      <c r="T161" s="563"/>
      <c r="U161" s="187"/>
      <c r="V161" s="216"/>
      <c r="W161" s="216"/>
      <c r="X161" s="200"/>
      <c r="Y161" s="213"/>
      <c r="Z161" s="213"/>
      <c r="AA161" s="213"/>
      <c r="AB161" s="213"/>
      <c r="AC161" s="563"/>
      <c r="AI161" s="184"/>
    </row>
    <row r="162" spans="1:35" ht="16.2" customHeight="1" x14ac:dyDescent="0.25">
      <c r="A162" s="201" t="s">
        <v>501</v>
      </c>
      <c r="B162" s="217"/>
      <c r="C162" s="217"/>
      <c r="D162" s="295"/>
      <c r="E162" s="295"/>
      <c r="F162" s="218"/>
      <c r="G162" s="216"/>
      <c r="H162" s="216"/>
      <c r="I162" s="216"/>
      <c r="J162" s="216"/>
      <c r="K162" s="562"/>
      <c r="L162" s="216"/>
      <c r="M162" s="295"/>
      <c r="N162" s="295"/>
      <c r="O162" s="218"/>
      <c r="P162" s="216"/>
      <c r="Q162" s="216"/>
      <c r="R162" s="216"/>
      <c r="S162" s="216"/>
      <c r="T162" s="563"/>
      <c r="U162" s="295"/>
      <c r="V162" s="295"/>
      <c r="W162" s="295"/>
      <c r="X162" s="218"/>
      <c r="Y162" s="216"/>
      <c r="Z162" s="216"/>
      <c r="AA162" s="213"/>
      <c r="AB162" s="213"/>
      <c r="AC162" s="563"/>
    </row>
    <row r="163" spans="1:35" ht="16.2" customHeight="1" x14ac:dyDescent="0.25">
      <c r="A163" s="201"/>
      <c r="B163" s="217" t="s">
        <v>502</v>
      </c>
      <c r="C163" s="217" t="s">
        <v>503</v>
      </c>
      <c r="D163" s="216">
        <v>220</v>
      </c>
      <c r="E163" s="216" t="s">
        <v>230</v>
      </c>
      <c r="F163" s="218" t="s">
        <v>75</v>
      </c>
      <c r="G163" s="216" t="s">
        <v>75</v>
      </c>
      <c r="H163" s="216" t="s">
        <v>75</v>
      </c>
      <c r="I163" s="216" t="s">
        <v>75</v>
      </c>
      <c r="J163" s="216" t="s">
        <v>75</v>
      </c>
      <c r="K163" s="500"/>
      <c r="L163" s="188"/>
      <c r="M163" s="216">
        <v>220</v>
      </c>
      <c r="N163" s="216" t="s">
        <v>230</v>
      </c>
      <c r="O163" s="218" t="s">
        <v>75</v>
      </c>
      <c r="P163" s="216" t="s">
        <v>75</v>
      </c>
      <c r="Q163" s="216" t="s">
        <v>75</v>
      </c>
      <c r="R163" s="216" t="s">
        <v>75</v>
      </c>
      <c r="S163" s="216" t="s">
        <v>75</v>
      </c>
      <c r="T163" s="500"/>
      <c r="U163" s="295"/>
      <c r="V163" s="216" t="s">
        <v>230</v>
      </c>
      <c r="W163" s="216" t="s">
        <v>230</v>
      </c>
      <c r="X163" s="218" t="s">
        <v>75</v>
      </c>
      <c r="Y163" s="216" t="s">
        <v>75</v>
      </c>
      <c r="Z163" s="216" t="s">
        <v>75</v>
      </c>
      <c r="AA163" s="213" t="s">
        <v>75</v>
      </c>
      <c r="AB163" s="213" t="s">
        <v>75</v>
      </c>
      <c r="AC163" s="500"/>
    </row>
    <row r="164" spans="1:35" ht="16.2" customHeight="1" x14ac:dyDescent="0.25">
      <c r="A164" s="201"/>
      <c r="B164" s="217" t="s">
        <v>504</v>
      </c>
      <c r="C164" s="217" t="s">
        <v>505</v>
      </c>
      <c r="D164" s="216">
        <v>45</v>
      </c>
      <c r="E164" s="216">
        <v>50</v>
      </c>
      <c r="F164" s="218" t="s">
        <v>75</v>
      </c>
      <c r="G164" s="216" t="s">
        <v>75</v>
      </c>
      <c r="H164" s="216" t="s">
        <v>75</v>
      </c>
      <c r="I164" s="216" t="s">
        <v>75</v>
      </c>
      <c r="J164" s="216" t="s">
        <v>75</v>
      </c>
      <c r="K164" s="216"/>
      <c r="L164" s="216"/>
      <c r="M164" s="216">
        <v>45</v>
      </c>
      <c r="N164" s="216">
        <v>50</v>
      </c>
      <c r="O164" s="218" t="s">
        <v>75</v>
      </c>
      <c r="P164" s="216" t="s">
        <v>75</v>
      </c>
      <c r="Q164" s="216" t="s">
        <v>75</v>
      </c>
      <c r="R164" s="216" t="s">
        <v>75</v>
      </c>
      <c r="S164" s="216" t="s">
        <v>75</v>
      </c>
      <c r="T164" s="216"/>
      <c r="U164" s="295"/>
      <c r="V164" s="216" t="s">
        <v>230</v>
      </c>
      <c r="W164" s="216" t="s">
        <v>230</v>
      </c>
      <c r="X164" s="218" t="s">
        <v>75</v>
      </c>
      <c r="Y164" s="216" t="s">
        <v>75</v>
      </c>
      <c r="Z164" s="216" t="s">
        <v>75</v>
      </c>
      <c r="AA164" s="213" t="s">
        <v>75</v>
      </c>
      <c r="AB164" s="213" t="s">
        <v>75</v>
      </c>
      <c r="AC164" s="728"/>
    </row>
    <row r="165" spans="1:35" ht="16.2" customHeight="1" x14ac:dyDescent="0.25">
      <c r="A165" s="201"/>
      <c r="B165" s="217" t="s">
        <v>506</v>
      </c>
      <c r="C165" s="217" t="s">
        <v>507</v>
      </c>
      <c r="D165" s="216" t="s">
        <v>230</v>
      </c>
      <c r="E165" s="216">
        <v>35</v>
      </c>
      <c r="F165" s="218" t="s">
        <v>75</v>
      </c>
      <c r="G165" s="216" t="s">
        <v>75</v>
      </c>
      <c r="H165" s="216" t="s">
        <v>75</v>
      </c>
      <c r="I165" s="216" t="s">
        <v>75</v>
      </c>
      <c r="J165" s="216" t="s">
        <v>75</v>
      </c>
      <c r="K165" s="216"/>
      <c r="L165" s="216"/>
      <c r="M165" s="216" t="s">
        <v>230</v>
      </c>
      <c r="N165" s="216">
        <v>35</v>
      </c>
      <c r="O165" s="218" t="s">
        <v>75</v>
      </c>
      <c r="P165" s="216" t="s">
        <v>75</v>
      </c>
      <c r="Q165" s="216" t="s">
        <v>75</v>
      </c>
      <c r="R165" s="216" t="s">
        <v>75</v>
      </c>
      <c r="S165" s="216" t="s">
        <v>75</v>
      </c>
      <c r="T165" s="216"/>
      <c r="U165" s="295"/>
      <c r="V165" s="216" t="s">
        <v>230</v>
      </c>
      <c r="W165" s="216" t="s">
        <v>230</v>
      </c>
      <c r="X165" s="218" t="s">
        <v>75</v>
      </c>
      <c r="Y165" s="216" t="s">
        <v>75</v>
      </c>
      <c r="Z165" s="216" t="s">
        <v>75</v>
      </c>
      <c r="AA165" s="213" t="s">
        <v>75</v>
      </c>
      <c r="AB165" s="213" t="s">
        <v>75</v>
      </c>
      <c r="AC165" s="728"/>
    </row>
    <row r="166" spans="1:35" ht="16.2" customHeight="1" x14ac:dyDescent="0.25">
      <c r="A166" s="201"/>
      <c r="B166" s="217" t="s">
        <v>508</v>
      </c>
      <c r="C166" s="217" t="s">
        <v>509</v>
      </c>
      <c r="D166" s="216">
        <v>20</v>
      </c>
      <c r="E166" s="216">
        <v>25</v>
      </c>
      <c r="F166" s="218" t="s">
        <v>75</v>
      </c>
      <c r="G166" s="216" t="s">
        <v>75</v>
      </c>
      <c r="H166" s="216" t="s">
        <v>75</v>
      </c>
      <c r="I166" s="216" t="s">
        <v>75</v>
      </c>
      <c r="J166" s="216" t="s">
        <v>75</v>
      </c>
      <c r="K166" s="216"/>
      <c r="L166" s="216"/>
      <c r="M166" s="216">
        <v>20</v>
      </c>
      <c r="N166" s="216">
        <v>25</v>
      </c>
      <c r="O166" s="218" t="s">
        <v>75</v>
      </c>
      <c r="P166" s="216" t="s">
        <v>75</v>
      </c>
      <c r="Q166" s="216" t="s">
        <v>75</v>
      </c>
      <c r="R166" s="216" t="s">
        <v>75</v>
      </c>
      <c r="S166" s="216" t="s">
        <v>75</v>
      </c>
      <c r="T166" s="216"/>
      <c r="U166" s="295"/>
      <c r="V166" s="216" t="s">
        <v>230</v>
      </c>
      <c r="W166" s="216" t="s">
        <v>230</v>
      </c>
      <c r="X166" s="218" t="s">
        <v>75</v>
      </c>
      <c r="Y166" s="216" t="s">
        <v>75</v>
      </c>
      <c r="Z166" s="216" t="s">
        <v>75</v>
      </c>
      <c r="AA166" s="213" t="s">
        <v>75</v>
      </c>
      <c r="AB166" s="213" t="s">
        <v>75</v>
      </c>
      <c r="AC166" s="728"/>
    </row>
    <row r="167" spans="1:35" ht="16.2" customHeight="1" x14ac:dyDescent="0.25">
      <c r="A167" s="201"/>
      <c r="B167" s="217" t="s">
        <v>510</v>
      </c>
      <c r="C167" s="217" t="s">
        <v>511</v>
      </c>
      <c r="D167" s="216">
        <v>5</v>
      </c>
      <c r="E167" s="216">
        <v>10</v>
      </c>
      <c r="F167" s="218" t="s">
        <v>75</v>
      </c>
      <c r="G167" s="216" t="s">
        <v>75</v>
      </c>
      <c r="H167" s="216" t="s">
        <v>75</v>
      </c>
      <c r="I167" s="216" t="s">
        <v>75</v>
      </c>
      <c r="J167" s="216" t="s">
        <v>75</v>
      </c>
      <c r="K167" s="216"/>
      <c r="L167" s="216"/>
      <c r="M167" s="216">
        <v>5</v>
      </c>
      <c r="N167" s="216">
        <v>10</v>
      </c>
      <c r="O167" s="218" t="s">
        <v>75</v>
      </c>
      <c r="P167" s="216" t="s">
        <v>75</v>
      </c>
      <c r="Q167" s="216" t="s">
        <v>75</v>
      </c>
      <c r="R167" s="216" t="s">
        <v>75</v>
      </c>
      <c r="S167" s="216" t="s">
        <v>75</v>
      </c>
      <c r="T167" s="216"/>
      <c r="U167" s="295"/>
      <c r="V167" s="216" t="s">
        <v>230</v>
      </c>
      <c r="W167" s="216" t="s">
        <v>230</v>
      </c>
      <c r="X167" s="218" t="s">
        <v>75</v>
      </c>
      <c r="Y167" s="216" t="s">
        <v>75</v>
      </c>
      <c r="Z167" s="216" t="s">
        <v>75</v>
      </c>
      <c r="AA167" s="213" t="s">
        <v>75</v>
      </c>
      <c r="AB167" s="213" t="s">
        <v>75</v>
      </c>
      <c r="AC167" s="728"/>
    </row>
    <row r="168" spans="1:35" ht="16.2" customHeight="1" x14ac:dyDescent="0.25">
      <c r="A168" s="292"/>
      <c r="B168" s="217" t="s">
        <v>512</v>
      </c>
      <c r="C168" s="217" t="s">
        <v>513</v>
      </c>
      <c r="D168" s="216">
        <v>35</v>
      </c>
      <c r="E168" s="216">
        <v>45</v>
      </c>
      <c r="F168" s="218" t="s">
        <v>75</v>
      </c>
      <c r="G168" s="216" t="s">
        <v>75</v>
      </c>
      <c r="H168" s="216" t="s">
        <v>75</v>
      </c>
      <c r="I168" s="216" t="s">
        <v>75</v>
      </c>
      <c r="J168" s="216" t="s">
        <v>75</v>
      </c>
      <c r="K168" s="216"/>
      <c r="L168" s="216"/>
      <c r="M168" s="216">
        <v>30</v>
      </c>
      <c r="N168" s="216">
        <v>40</v>
      </c>
      <c r="O168" s="218" t="s">
        <v>75</v>
      </c>
      <c r="P168" s="216" t="s">
        <v>75</v>
      </c>
      <c r="Q168" s="216" t="s">
        <v>75</v>
      </c>
      <c r="R168" s="216" t="s">
        <v>75</v>
      </c>
      <c r="S168" s="216" t="s">
        <v>75</v>
      </c>
      <c r="T168" s="216"/>
      <c r="U168" s="295"/>
      <c r="V168" s="216" t="s">
        <v>230</v>
      </c>
      <c r="W168" s="216" t="s">
        <v>230</v>
      </c>
      <c r="X168" s="218" t="s">
        <v>75</v>
      </c>
      <c r="Y168" s="216" t="s">
        <v>75</v>
      </c>
      <c r="Z168" s="216" t="s">
        <v>75</v>
      </c>
      <c r="AA168" s="213" t="s">
        <v>75</v>
      </c>
      <c r="AB168" s="213" t="s">
        <v>75</v>
      </c>
      <c r="AC168" s="728"/>
    </row>
    <row r="169" spans="1:35" ht="16.2" customHeight="1" x14ac:dyDescent="0.25">
      <c r="A169" s="292"/>
      <c r="B169" s="217" t="s">
        <v>514</v>
      </c>
      <c r="C169" s="217" t="s">
        <v>515</v>
      </c>
      <c r="D169" s="216" t="s">
        <v>75</v>
      </c>
      <c r="E169" s="216" t="s">
        <v>75</v>
      </c>
      <c r="F169" s="218" t="s">
        <v>75</v>
      </c>
      <c r="G169" s="216">
        <v>5</v>
      </c>
      <c r="H169" s="216" t="s">
        <v>230</v>
      </c>
      <c r="I169" s="216" t="s">
        <v>75</v>
      </c>
      <c r="J169" s="216" t="s">
        <v>75</v>
      </c>
      <c r="K169" s="216"/>
      <c r="L169" s="216"/>
      <c r="M169" s="216" t="s">
        <v>75</v>
      </c>
      <c r="N169" s="216" t="s">
        <v>75</v>
      </c>
      <c r="O169" s="218" t="s">
        <v>75</v>
      </c>
      <c r="P169" s="216">
        <v>5</v>
      </c>
      <c r="Q169" s="216" t="s">
        <v>230</v>
      </c>
      <c r="R169" s="216" t="s">
        <v>75</v>
      </c>
      <c r="S169" s="216" t="s">
        <v>75</v>
      </c>
      <c r="T169" s="216"/>
      <c r="U169" s="295"/>
      <c r="V169" s="216" t="s">
        <v>75</v>
      </c>
      <c r="W169" s="216" t="s">
        <v>75</v>
      </c>
      <c r="X169" s="218" t="s">
        <v>75</v>
      </c>
      <c r="Y169" s="216" t="s">
        <v>230</v>
      </c>
      <c r="Z169" s="216" t="s">
        <v>230</v>
      </c>
      <c r="AA169" s="213" t="s">
        <v>75</v>
      </c>
      <c r="AB169" s="213" t="s">
        <v>75</v>
      </c>
      <c r="AC169" s="728"/>
    </row>
    <row r="170" spans="1:35" ht="16.2" customHeight="1" x14ac:dyDescent="0.25">
      <c r="A170" s="292"/>
      <c r="B170" s="217" t="s">
        <v>516</v>
      </c>
      <c r="C170" s="217" t="s">
        <v>517</v>
      </c>
      <c r="D170" s="216">
        <v>5</v>
      </c>
      <c r="E170" s="216">
        <v>5</v>
      </c>
      <c r="F170" s="218" t="s">
        <v>75</v>
      </c>
      <c r="G170" s="216" t="s">
        <v>75</v>
      </c>
      <c r="H170" s="216" t="s">
        <v>75</v>
      </c>
      <c r="I170" s="216" t="s">
        <v>75</v>
      </c>
      <c r="J170" s="216" t="s">
        <v>75</v>
      </c>
      <c r="K170" s="216"/>
      <c r="L170" s="216"/>
      <c r="M170" s="216">
        <v>5</v>
      </c>
      <c r="N170" s="216">
        <v>5</v>
      </c>
      <c r="O170" s="218" t="s">
        <v>75</v>
      </c>
      <c r="P170" s="216" t="s">
        <v>75</v>
      </c>
      <c r="Q170" s="216" t="s">
        <v>75</v>
      </c>
      <c r="R170" s="216" t="s">
        <v>75</v>
      </c>
      <c r="S170" s="216" t="s">
        <v>75</v>
      </c>
      <c r="T170" s="216"/>
      <c r="U170" s="295"/>
      <c r="V170" s="216" t="s">
        <v>230</v>
      </c>
      <c r="W170" s="216" t="s">
        <v>230</v>
      </c>
      <c r="X170" s="218" t="s">
        <v>75</v>
      </c>
      <c r="Y170" s="216" t="s">
        <v>75</v>
      </c>
      <c r="Z170" s="216" t="s">
        <v>75</v>
      </c>
      <c r="AA170" s="213" t="s">
        <v>75</v>
      </c>
      <c r="AB170" s="213" t="s">
        <v>75</v>
      </c>
      <c r="AC170" s="728"/>
    </row>
    <row r="171" spans="1:35" ht="16.2" customHeight="1" x14ac:dyDescent="0.25">
      <c r="A171" s="292"/>
      <c r="B171" s="217" t="s">
        <v>518</v>
      </c>
      <c r="C171" s="217" t="s">
        <v>519</v>
      </c>
      <c r="D171" s="216">
        <v>45</v>
      </c>
      <c r="E171" s="216" t="s">
        <v>230</v>
      </c>
      <c r="F171" s="218" t="s">
        <v>75</v>
      </c>
      <c r="G171" s="216" t="s">
        <v>75</v>
      </c>
      <c r="H171" s="216" t="s">
        <v>75</v>
      </c>
      <c r="I171" s="216" t="s">
        <v>75</v>
      </c>
      <c r="J171" s="216" t="s">
        <v>75</v>
      </c>
      <c r="K171" s="216"/>
      <c r="L171" s="216"/>
      <c r="M171" s="216">
        <v>45</v>
      </c>
      <c r="N171" s="216" t="s">
        <v>230</v>
      </c>
      <c r="O171" s="218" t="s">
        <v>75</v>
      </c>
      <c r="P171" s="216" t="s">
        <v>75</v>
      </c>
      <c r="Q171" s="216" t="s">
        <v>75</v>
      </c>
      <c r="R171" s="216" t="s">
        <v>75</v>
      </c>
      <c r="S171" s="216" t="s">
        <v>75</v>
      </c>
      <c r="T171" s="216"/>
      <c r="U171" s="295"/>
      <c r="V171" s="216" t="s">
        <v>230</v>
      </c>
      <c r="W171" s="216" t="s">
        <v>230</v>
      </c>
      <c r="X171" s="218" t="s">
        <v>75</v>
      </c>
      <c r="Y171" s="216" t="s">
        <v>75</v>
      </c>
      <c r="Z171" s="216" t="s">
        <v>75</v>
      </c>
      <c r="AA171" s="213" t="s">
        <v>75</v>
      </c>
      <c r="AB171" s="213" t="s">
        <v>75</v>
      </c>
      <c r="AC171" s="728"/>
    </row>
    <row r="172" spans="1:35" ht="16.2" customHeight="1" x14ac:dyDescent="0.25">
      <c r="A172" s="292"/>
      <c r="B172" s="217" t="s">
        <v>520</v>
      </c>
      <c r="C172" s="217" t="s">
        <v>521</v>
      </c>
      <c r="D172" s="216">
        <v>495</v>
      </c>
      <c r="E172" s="216">
        <v>505</v>
      </c>
      <c r="F172" s="218">
        <v>415</v>
      </c>
      <c r="G172" s="216">
        <v>560</v>
      </c>
      <c r="H172" s="216" t="s">
        <v>75</v>
      </c>
      <c r="I172" s="216" t="s">
        <v>75</v>
      </c>
      <c r="J172" s="216" t="s">
        <v>75</v>
      </c>
      <c r="K172" s="216"/>
      <c r="L172" s="213"/>
      <c r="M172" s="216">
        <v>480</v>
      </c>
      <c r="N172" s="216">
        <v>495</v>
      </c>
      <c r="O172" s="218">
        <v>405</v>
      </c>
      <c r="P172" s="216">
        <v>555</v>
      </c>
      <c r="Q172" s="216" t="s">
        <v>75</v>
      </c>
      <c r="R172" s="216" t="s">
        <v>75</v>
      </c>
      <c r="S172" s="216" t="s">
        <v>75</v>
      </c>
      <c r="T172" s="216"/>
      <c r="U172" s="295"/>
      <c r="V172" s="216">
        <v>10</v>
      </c>
      <c r="W172" s="216">
        <v>5</v>
      </c>
      <c r="X172" s="190">
        <v>10</v>
      </c>
      <c r="Y172" s="188">
        <v>5</v>
      </c>
      <c r="Z172" s="188" t="s">
        <v>75</v>
      </c>
      <c r="AA172" s="213" t="s">
        <v>75</v>
      </c>
      <c r="AB172" s="213" t="s">
        <v>75</v>
      </c>
      <c r="AC172" s="728"/>
    </row>
    <row r="173" spans="1:35" ht="16.2" customHeight="1" x14ac:dyDescent="0.25">
      <c r="A173" s="284"/>
      <c r="B173" s="217" t="s">
        <v>522</v>
      </c>
      <c r="C173" s="217" t="s">
        <v>523</v>
      </c>
      <c r="D173" s="216">
        <v>5</v>
      </c>
      <c r="E173" s="216">
        <v>10</v>
      </c>
      <c r="F173" s="218" t="s">
        <v>75</v>
      </c>
      <c r="G173" s="216" t="s">
        <v>75</v>
      </c>
      <c r="H173" s="216" t="s">
        <v>75</v>
      </c>
      <c r="I173" s="216" t="s">
        <v>75</v>
      </c>
      <c r="J173" s="216" t="s">
        <v>75</v>
      </c>
      <c r="K173" s="216"/>
      <c r="L173" s="216"/>
      <c r="M173" s="216">
        <v>5</v>
      </c>
      <c r="N173" s="216">
        <v>10</v>
      </c>
      <c r="O173" s="218" t="s">
        <v>75</v>
      </c>
      <c r="P173" s="216" t="s">
        <v>75</v>
      </c>
      <c r="Q173" s="216" t="s">
        <v>75</v>
      </c>
      <c r="R173" s="216" t="s">
        <v>75</v>
      </c>
      <c r="S173" s="216" t="s">
        <v>75</v>
      </c>
      <c r="T173" s="216"/>
      <c r="U173" s="295"/>
      <c r="V173" s="216" t="s">
        <v>230</v>
      </c>
      <c r="W173" s="216" t="s">
        <v>230</v>
      </c>
      <c r="X173" s="218" t="s">
        <v>75</v>
      </c>
      <c r="Y173" s="216" t="s">
        <v>75</v>
      </c>
      <c r="Z173" s="216" t="s">
        <v>75</v>
      </c>
      <c r="AA173" s="213" t="s">
        <v>75</v>
      </c>
      <c r="AB173" s="213" t="s">
        <v>75</v>
      </c>
      <c r="AC173" s="728"/>
    </row>
    <row r="174" spans="1:35" ht="16.2" customHeight="1" x14ac:dyDescent="0.25">
      <c r="A174" s="284"/>
      <c r="B174" s="217" t="s">
        <v>524</v>
      </c>
      <c r="C174" s="217" t="s">
        <v>525</v>
      </c>
      <c r="D174" s="216" t="s">
        <v>230</v>
      </c>
      <c r="E174" s="216" t="s">
        <v>230</v>
      </c>
      <c r="F174" s="218" t="s">
        <v>75</v>
      </c>
      <c r="G174" s="216" t="s">
        <v>75</v>
      </c>
      <c r="H174" s="216" t="s">
        <v>75</v>
      </c>
      <c r="I174" s="216" t="s">
        <v>75</v>
      </c>
      <c r="J174" s="216" t="s">
        <v>75</v>
      </c>
      <c r="K174" s="216"/>
      <c r="L174" s="216"/>
      <c r="M174" s="216" t="s">
        <v>230</v>
      </c>
      <c r="N174" s="216" t="s">
        <v>230</v>
      </c>
      <c r="O174" s="218" t="s">
        <v>75</v>
      </c>
      <c r="P174" s="216" t="s">
        <v>75</v>
      </c>
      <c r="Q174" s="216" t="s">
        <v>75</v>
      </c>
      <c r="R174" s="216" t="s">
        <v>75</v>
      </c>
      <c r="S174" s="216" t="s">
        <v>75</v>
      </c>
      <c r="T174" s="216"/>
      <c r="U174" s="295"/>
      <c r="V174" s="216" t="s">
        <v>230</v>
      </c>
      <c r="W174" s="216" t="s">
        <v>230</v>
      </c>
      <c r="X174" s="218" t="s">
        <v>75</v>
      </c>
      <c r="Y174" s="216" t="s">
        <v>75</v>
      </c>
      <c r="Z174" s="216" t="s">
        <v>75</v>
      </c>
      <c r="AA174" s="213" t="s">
        <v>75</v>
      </c>
      <c r="AB174" s="213" t="s">
        <v>75</v>
      </c>
      <c r="AC174" s="728"/>
    </row>
    <row r="175" spans="1:35" ht="16.2" customHeight="1" x14ac:dyDescent="0.25">
      <c r="A175" s="284"/>
      <c r="B175" s="217" t="s">
        <v>526</v>
      </c>
      <c r="C175" s="217" t="s">
        <v>527</v>
      </c>
      <c r="D175" s="216">
        <v>95</v>
      </c>
      <c r="E175" s="216">
        <v>95</v>
      </c>
      <c r="F175" s="218" t="s">
        <v>75</v>
      </c>
      <c r="G175" s="216" t="s">
        <v>75</v>
      </c>
      <c r="H175" s="216" t="s">
        <v>75</v>
      </c>
      <c r="I175" s="216" t="s">
        <v>75</v>
      </c>
      <c r="J175" s="216" t="s">
        <v>75</v>
      </c>
      <c r="K175" s="216"/>
      <c r="L175" s="216"/>
      <c r="M175" s="216">
        <v>95</v>
      </c>
      <c r="N175" s="216">
        <v>95</v>
      </c>
      <c r="O175" s="218" t="s">
        <v>75</v>
      </c>
      <c r="P175" s="216" t="s">
        <v>75</v>
      </c>
      <c r="Q175" s="216" t="s">
        <v>75</v>
      </c>
      <c r="R175" s="216" t="s">
        <v>75</v>
      </c>
      <c r="S175" s="216" t="s">
        <v>75</v>
      </c>
      <c r="T175" s="216"/>
      <c r="U175" s="295"/>
      <c r="V175" s="216" t="s">
        <v>230</v>
      </c>
      <c r="W175" s="216" t="s">
        <v>230</v>
      </c>
      <c r="X175" s="218" t="s">
        <v>75</v>
      </c>
      <c r="Y175" s="216" t="s">
        <v>75</v>
      </c>
      <c r="Z175" s="216" t="s">
        <v>75</v>
      </c>
      <c r="AA175" s="213" t="s">
        <v>75</v>
      </c>
      <c r="AB175" s="213" t="s">
        <v>75</v>
      </c>
      <c r="AC175" s="728"/>
    </row>
    <row r="176" spans="1:35" ht="16.2" customHeight="1" x14ac:dyDescent="0.25">
      <c r="A176" s="284"/>
      <c r="B176" s="217" t="s">
        <v>528</v>
      </c>
      <c r="C176" s="217" t="s">
        <v>529</v>
      </c>
      <c r="D176" s="216">
        <v>45</v>
      </c>
      <c r="E176" s="216" t="s">
        <v>230</v>
      </c>
      <c r="F176" s="218" t="s">
        <v>75</v>
      </c>
      <c r="G176" s="216" t="s">
        <v>75</v>
      </c>
      <c r="H176" s="216" t="s">
        <v>75</v>
      </c>
      <c r="I176" s="216" t="s">
        <v>75</v>
      </c>
      <c r="J176" s="216" t="s">
        <v>75</v>
      </c>
      <c r="K176" s="216"/>
      <c r="L176" s="216"/>
      <c r="M176" s="216">
        <v>40</v>
      </c>
      <c r="N176" s="216" t="s">
        <v>230</v>
      </c>
      <c r="O176" s="218" t="s">
        <v>75</v>
      </c>
      <c r="P176" s="216" t="s">
        <v>75</v>
      </c>
      <c r="Q176" s="216" t="s">
        <v>75</v>
      </c>
      <c r="R176" s="216" t="s">
        <v>75</v>
      </c>
      <c r="S176" s="216" t="s">
        <v>75</v>
      </c>
      <c r="T176" s="216"/>
      <c r="U176" s="295"/>
      <c r="V176" s="216">
        <v>5</v>
      </c>
      <c r="W176" s="216" t="s">
        <v>230</v>
      </c>
      <c r="X176" s="218" t="s">
        <v>75</v>
      </c>
      <c r="Y176" s="216" t="s">
        <v>75</v>
      </c>
      <c r="Z176" s="216" t="s">
        <v>75</v>
      </c>
      <c r="AA176" s="213" t="s">
        <v>75</v>
      </c>
      <c r="AB176" s="213" t="s">
        <v>75</v>
      </c>
      <c r="AC176" s="728"/>
    </row>
    <row r="177" spans="1:29" ht="16.2" customHeight="1" x14ac:dyDescent="0.25">
      <c r="A177" s="284"/>
      <c r="B177" s="217" t="s">
        <v>530</v>
      </c>
      <c r="C177" s="302" t="s">
        <v>531</v>
      </c>
      <c r="D177" s="216" t="s">
        <v>75</v>
      </c>
      <c r="E177" s="216" t="s">
        <v>75</v>
      </c>
      <c r="F177" s="218">
        <v>5</v>
      </c>
      <c r="G177" s="216" t="s">
        <v>230</v>
      </c>
      <c r="H177" s="216" t="s">
        <v>230</v>
      </c>
      <c r="I177" s="216" t="s">
        <v>75</v>
      </c>
      <c r="J177" s="216" t="s">
        <v>75</v>
      </c>
      <c r="K177" s="216"/>
      <c r="L177" s="216"/>
      <c r="M177" s="216" t="s">
        <v>75</v>
      </c>
      <c r="N177" s="216" t="s">
        <v>75</v>
      </c>
      <c r="O177" s="218" t="s">
        <v>230</v>
      </c>
      <c r="P177" s="216" t="s">
        <v>230</v>
      </c>
      <c r="Q177" s="216" t="s">
        <v>230</v>
      </c>
      <c r="R177" s="216" t="s">
        <v>75</v>
      </c>
      <c r="S177" s="216" t="s">
        <v>75</v>
      </c>
      <c r="T177" s="216"/>
      <c r="U177" s="295"/>
      <c r="V177" s="216" t="s">
        <v>75</v>
      </c>
      <c r="W177" s="216" t="s">
        <v>75</v>
      </c>
      <c r="X177" s="200" t="s">
        <v>230</v>
      </c>
      <c r="Y177" s="213" t="s">
        <v>230</v>
      </c>
      <c r="Z177" s="213" t="s">
        <v>230</v>
      </c>
      <c r="AA177" s="213" t="s">
        <v>75</v>
      </c>
      <c r="AB177" s="213" t="s">
        <v>75</v>
      </c>
      <c r="AC177" s="728"/>
    </row>
    <row r="178" spans="1:29" ht="16.2" customHeight="1" x14ac:dyDescent="0.25">
      <c r="A178" s="284"/>
      <c r="B178" s="217" t="s">
        <v>532</v>
      </c>
      <c r="C178" s="217" t="s">
        <v>533</v>
      </c>
      <c r="D178" s="216">
        <v>10</v>
      </c>
      <c r="E178" s="216">
        <v>15</v>
      </c>
      <c r="F178" s="218" t="s">
        <v>75</v>
      </c>
      <c r="G178" s="216" t="s">
        <v>75</v>
      </c>
      <c r="H178" s="216" t="s">
        <v>75</v>
      </c>
      <c r="I178" s="216" t="s">
        <v>75</v>
      </c>
      <c r="J178" s="216" t="s">
        <v>75</v>
      </c>
      <c r="K178" s="216"/>
      <c r="L178" s="216"/>
      <c r="M178" s="216">
        <v>10</v>
      </c>
      <c r="N178" s="216">
        <v>15</v>
      </c>
      <c r="O178" s="218" t="s">
        <v>75</v>
      </c>
      <c r="P178" s="216" t="s">
        <v>75</v>
      </c>
      <c r="Q178" s="216" t="s">
        <v>75</v>
      </c>
      <c r="R178" s="216" t="s">
        <v>75</v>
      </c>
      <c r="S178" s="216" t="s">
        <v>75</v>
      </c>
      <c r="T178" s="216"/>
      <c r="U178" s="295"/>
      <c r="V178" s="216" t="s">
        <v>230</v>
      </c>
      <c r="W178" s="216" t="s">
        <v>230</v>
      </c>
      <c r="X178" s="218" t="s">
        <v>75</v>
      </c>
      <c r="Y178" s="216" t="s">
        <v>75</v>
      </c>
      <c r="Z178" s="216" t="s">
        <v>75</v>
      </c>
      <c r="AA178" s="213" t="s">
        <v>75</v>
      </c>
      <c r="AB178" s="213" t="s">
        <v>75</v>
      </c>
      <c r="AC178" s="728"/>
    </row>
    <row r="179" spans="1:29" ht="16.2" customHeight="1" x14ac:dyDescent="0.25">
      <c r="A179" s="284"/>
      <c r="B179" s="217" t="s">
        <v>534</v>
      </c>
      <c r="C179" s="217" t="s">
        <v>535</v>
      </c>
      <c r="D179" s="216">
        <v>745</v>
      </c>
      <c r="E179" s="216">
        <v>835</v>
      </c>
      <c r="F179" s="200">
        <v>715</v>
      </c>
      <c r="G179" s="213">
        <v>725</v>
      </c>
      <c r="H179" s="213">
        <v>1295</v>
      </c>
      <c r="I179" s="216">
        <v>1250</v>
      </c>
      <c r="J179" s="216">
        <v>1370</v>
      </c>
      <c r="K179" s="216"/>
      <c r="L179" s="216"/>
      <c r="M179" s="216">
        <v>745</v>
      </c>
      <c r="N179" s="216">
        <v>830</v>
      </c>
      <c r="O179" s="200">
        <v>710</v>
      </c>
      <c r="P179" s="213">
        <v>725</v>
      </c>
      <c r="Q179" s="213">
        <v>1285</v>
      </c>
      <c r="R179" s="216">
        <v>1240</v>
      </c>
      <c r="S179" s="216">
        <v>1355</v>
      </c>
      <c r="T179" s="216"/>
      <c r="U179" s="295"/>
      <c r="V179" s="216" t="s">
        <v>230</v>
      </c>
      <c r="W179" s="216">
        <v>10</v>
      </c>
      <c r="X179" s="200" t="s">
        <v>230</v>
      </c>
      <c r="Y179" s="213" t="s">
        <v>230</v>
      </c>
      <c r="Z179" s="213">
        <v>5</v>
      </c>
      <c r="AA179" s="213">
        <v>5</v>
      </c>
      <c r="AB179" s="213">
        <v>5</v>
      </c>
      <c r="AC179" s="728"/>
    </row>
    <row r="180" spans="1:29" ht="16.2" customHeight="1" x14ac:dyDescent="0.25">
      <c r="A180" s="284"/>
      <c r="B180" s="217" t="s">
        <v>536</v>
      </c>
      <c r="C180" s="217" t="s">
        <v>537</v>
      </c>
      <c r="D180" s="216">
        <v>85</v>
      </c>
      <c r="E180" s="216">
        <v>55</v>
      </c>
      <c r="F180" s="218" t="s">
        <v>75</v>
      </c>
      <c r="G180" s="216" t="s">
        <v>75</v>
      </c>
      <c r="H180" s="216" t="s">
        <v>230</v>
      </c>
      <c r="I180" s="216" t="s">
        <v>75</v>
      </c>
      <c r="J180" s="216" t="s">
        <v>75</v>
      </c>
      <c r="K180" s="216"/>
      <c r="L180" s="216"/>
      <c r="M180" s="216">
        <v>80</v>
      </c>
      <c r="N180" s="216">
        <v>50</v>
      </c>
      <c r="O180" s="218" t="s">
        <v>75</v>
      </c>
      <c r="P180" s="216" t="s">
        <v>75</v>
      </c>
      <c r="Q180" s="216" t="s">
        <v>230</v>
      </c>
      <c r="R180" s="216" t="s">
        <v>75</v>
      </c>
      <c r="S180" s="216" t="s">
        <v>75</v>
      </c>
      <c r="T180" s="216"/>
      <c r="U180" s="295"/>
      <c r="V180" s="216">
        <v>5</v>
      </c>
      <c r="W180" s="216">
        <v>5</v>
      </c>
      <c r="X180" s="218" t="s">
        <v>75</v>
      </c>
      <c r="Y180" s="216" t="s">
        <v>75</v>
      </c>
      <c r="Z180" s="216" t="s">
        <v>230</v>
      </c>
      <c r="AA180" s="213" t="s">
        <v>75</v>
      </c>
      <c r="AB180" s="213" t="s">
        <v>75</v>
      </c>
      <c r="AC180" s="728"/>
    </row>
    <row r="181" spans="1:29" ht="16.2" customHeight="1" x14ac:dyDescent="0.25">
      <c r="A181" s="284"/>
      <c r="B181" s="217" t="s">
        <v>538</v>
      </c>
      <c r="C181" s="217" t="s">
        <v>539</v>
      </c>
      <c r="D181" s="216" t="s">
        <v>230</v>
      </c>
      <c r="E181" s="216" t="s">
        <v>230</v>
      </c>
      <c r="F181" s="218" t="s">
        <v>75</v>
      </c>
      <c r="G181" s="216" t="s">
        <v>75</v>
      </c>
      <c r="H181" s="216" t="s">
        <v>75</v>
      </c>
      <c r="I181" s="216" t="s">
        <v>75</v>
      </c>
      <c r="J181" s="216" t="s">
        <v>75</v>
      </c>
      <c r="K181" s="216"/>
      <c r="L181" s="188"/>
      <c r="M181" s="216" t="s">
        <v>230</v>
      </c>
      <c r="N181" s="216" t="s">
        <v>230</v>
      </c>
      <c r="O181" s="218" t="s">
        <v>75</v>
      </c>
      <c r="P181" s="216" t="s">
        <v>75</v>
      </c>
      <c r="Q181" s="216" t="s">
        <v>75</v>
      </c>
      <c r="R181" s="216" t="s">
        <v>75</v>
      </c>
      <c r="S181" s="216" t="s">
        <v>75</v>
      </c>
      <c r="T181" s="216"/>
      <c r="U181" s="216"/>
      <c r="V181" s="216" t="s">
        <v>230</v>
      </c>
      <c r="W181" s="216" t="s">
        <v>230</v>
      </c>
      <c r="X181" s="218" t="s">
        <v>75</v>
      </c>
      <c r="Y181" s="216" t="s">
        <v>75</v>
      </c>
      <c r="Z181" s="216" t="s">
        <v>75</v>
      </c>
      <c r="AA181" s="213" t="s">
        <v>75</v>
      </c>
      <c r="AB181" s="213" t="s">
        <v>75</v>
      </c>
      <c r="AC181" s="728"/>
    </row>
    <row r="182" spans="1:29" ht="16.2" customHeight="1" x14ac:dyDescent="0.25">
      <c r="A182" s="284"/>
      <c r="B182" s="217" t="s">
        <v>540</v>
      </c>
      <c r="C182" s="217" t="s">
        <v>541</v>
      </c>
      <c r="D182" s="216" t="s">
        <v>230</v>
      </c>
      <c r="E182" s="216">
        <v>10</v>
      </c>
      <c r="F182" s="218" t="s">
        <v>75</v>
      </c>
      <c r="G182" s="216" t="s">
        <v>75</v>
      </c>
      <c r="H182" s="216" t="s">
        <v>75</v>
      </c>
      <c r="I182" s="216" t="s">
        <v>75</v>
      </c>
      <c r="J182" s="216" t="s">
        <v>75</v>
      </c>
      <c r="K182" s="216"/>
      <c r="L182" s="216"/>
      <c r="M182" s="216" t="s">
        <v>230</v>
      </c>
      <c r="N182" s="216">
        <v>10</v>
      </c>
      <c r="O182" s="218" t="s">
        <v>75</v>
      </c>
      <c r="P182" s="216" t="s">
        <v>75</v>
      </c>
      <c r="Q182" s="216" t="s">
        <v>75</v>
      </c>
      <c r="R182" s="216" t="s">
        <v>75</v>
      </c>
      <c r="S182" s="216" t="s">
        <v>75</v>
      </c>
      <c r="T182" s="216"/>
      <c r="U182" s="295"/>
      <c r="V182" s="216" t="s">
        <v>230</v>
      </c>
      <c r="W182" s="216" t="s">
        <v>230</v>
      </c>
      <c r="X182" s="218" t="s">
        <v>75</v>
      </c>
      <c r="Y182" s="216" t="s">
        <v>75</v>
      </c>
      <c r="Z182" s="216" t="s">
        <v>75</v>
      </c>
      <c r="AA182" s="213" t="s">
        <v>75</v>
      </c>
      <c r="AB182" s="213" t="s">
        <v>75</v>
      </c>
      <c r="AC182" s="728"/>
    </row>
    <row r="183" spans="1:29" ht="16.2" customHeight="1" x14ac:dyDescent="0.25">
      <c r="A183" s="284"/>
      <c r="B183" s="217" t="s">
        <v>542</v>
      </c>
      <c r="C183" s="217" t="s">
        <v>543</v>
      </c>
      <c r="D183" s="216" t="s">
        <v>75</v>
      </c>
      <c r="E183" s="216" t="s">
        <v>75</v>
      </c>
      <c r="F183" s="218">
        <v>460</v>
      </c>
      <c r="G183" s="216">
        <v>670</v>
      </c>
      <c r="H183" s="216">
        <v>870</v>
      </c>
      <c r="I183" s="216">
        <v>925</v>
      </c>
      <c r="J183" s="216">
        <v>940</v>
      </c>
      <c r="K183" s="216"/>
      <c r="L183" s="216"/>
      <c r="M183" s="216" t="s">
        <v>75</v>
      </c>
      <c r="N183" s="216" t="s">
        <v>75</v>
      </c>
      <c r="O183" s="218">
        <v>460</v>
      </c>
      <c r="P183" s="216">
        <v>670</v>
      </c>
      <c r="Q183" s="216">
        <v>865</v>
      </c>
      <c r="R183" s="216">
        <v>925</v>
      </c>
      <c r="S183" s="216">
        <v>940</v>
      </c>
      <c r="T183" s="216"/>
      <c r="U183" s="295"/>
      <c r="V183" s="216" t="s">
        <v>75</v>
      </c>
      <c r="W183" s="216" t="s">
        <v>75</v>
      </c>
      <c r="X183" s="200" t="s">
        <v>230</v>
      </c>
      <c r="Y183" s="213" t="s">
        <v>230</v>
      </c>
      <c r="Z183" s="213" t="s">
        <v>230</v>
      </c>
      <c r="AA183" s="213" t="s">
        <v>75</v>
      </c>
      <c r="AB183" s="213" t="s">
        <v>75</v>
      </c>
      <c r="AC183" s="728"/>
    </row>
    <row r="184" spans="1:29" ht="16.2" customHeight="1" x14ac:dyDescent="0.25">
      <c r="A184" s="284"/>
      <c r="B184" s="217" t="s">
        <v>544</v>
      </c>
      <c r="C184" s="217" t="s">
        <v>545</v>
      </c>
      <c r="D184" s="216">
        <v>35</v>
      </c>
      <c r="E184" s="216">
        <v>40</v>
      </c>
      <c r="F184" s="218">
        <v>25</v>
      </c>
      <c r="G184" s="216">
        <v>25</v>
      </c>
      <c r="H184" s="216">
        <v>15</v>
      </c>
      <c r="I184" s="216">
        <v>15</v>
      </c>
      <c r="J184" s="216">
        <v>15</v>
      </c>
      <c r="K184" s="216"/>
      <c r="L184" s="216"/>
      <c r="M184" s="216">
        <v>35</v>
      </c>
      <c r="N184" s="216">
        <v>40</v>
      </c>
      <c r="O184" s="218">
        <v>25</v>
      </c>
      <c r="P184" s="216">
        <v>25</v>
      </c>
      <c r="Q184" s="216">
        <v>15</v>
      </c>
      <c r="R184" s="216">
        <v>15</v>
      </c>
      <c r="S184" s="216">
        <v>15</v>
      </c>
      <c r="T184" s="216"/>
      <c r="U184" s="295"/>
      <c r="V184" s="216" t="s">
        <v>230</v>
      </c>
      <c r="W184" s="216" t="s">
        <v>230</v>
      </c>
      <c r="X184" s="200" t="s">
        <v>230</v>
      </c>
      <c r="Y184" s="213" t="s">
        <v>230</v>
      </c>
      <c r="Z184" s="213" t="s">
        <v>230</v>
      </c>
      <c r="AA184" s="213" t="s">
        <v>75</v>
      </c>
      <c r="AB184" s="213" t="s">
        <v>75</v>
      </c>
      <c r="AC184" s="728"/>
    </row>
    <row r="185" spans="1:29" ht="16.2" customHeight="1" x14ac:dyDescent="0.25">
      <c r="A185" s="284"/>
      <c r="B185" s="217" t="s">
        <v>546</v>
      </c>
      <c r="C185" s="217" t="s">
        <v>547</v>
      </c>
      <c r="D185" s="216">
        <v>35</v>
      </c>
      <c r="E185" s="216">
        <v>35</v>
      </c>
      <c r="F185" s="218" t="s">
        <v>75</v>
      </c>
      <c r="G185" s="216" t="s">
        <v>75</v>
      </c>
      <c r="H185" s="216" t="s">
        <v>75</v>
      </c>
      <c r="I185" s="216" t="s">
        <v>75</v>
      </c>
      <c r="J185" s="216" t="s">
        <v>75</v>
      </c>
      <c r="K185" s="216"/>
      <c r="L185" s="216"/>
      <c r="M185" s="216">
        <v>35</v>
      </c>
      <c r="N185" s="216">
        <v>25</v>
      </c>
      <c r="O185" s="218" t="s">
        <v>75</v>
      </c>
      <c r="P185" s="216" t="s">
        <v>75</v>
      </c>
      <c r="Q185" s="216" t="s">
        <v>75</v>
      </c>
      <c r="R185" s="216" t="s">
        <v>75</v>
      </c>
      <c r="S185" s="216" t="s">
        <v>75</v>
      </c>
      <c r="T185" s="216"/>
      <c r="U185" s="295"/>
      <c r="V185" s="216" t="s">
        <v>230</v>
      </c>
      <c r="W185" s="216">
        <v>10</v>
      </c>
      <c r="X185" s="218" t="s">
        <v>75</v>
      </c>
      <c r="Y185" s="216" t="s">
        <v>75</v>
      </c>
      <c r="Z185" s="216" t="s">
        <v>75</v>
      </c>
      <c r="AA185" s="213" t="s">
        <v>75</v>
      </c>
      <c r="AB185" s="213" t="s">
        <v>75</v>
      </c>
      <c r="AC185" s="728"/>
    </row>
    <row r="186" spans="1:29" ht="16.2" customHeight="1" x14ac:dyDescent="0.25">
      <c r="A186" s="284"/>
      <c r="B186" s="217" t="s">
        <v>548</v>
      </c>
      <c r="C186" s="217" t="s">
        <v>549</v>
      </c>
      <c r="D186" s="216" t="s">
        <v>230</v>
      </c>
      <c r="E186" s="216" t="s">
        <v>230</v>
      </c>
      <c r="F186" s="218" t="s">
        <v>75</v>
      </c>
      <c r="G186" s="216" t="s">
        <v>75</v>
      </c>
      <c r="H186" s="216" t="s">
        <v>75</v>
      </c>
      <c r="I186" s="216" t="s">
        <v>75</v>
      </c>
      <c r="J186" s="216" t="s">
        <v>75</v>
      </c>
      <c r="K186" s="216"/>
      <c r="L186" s="216"/>
      <c r="M186" s="216" t="s">
        <v>230</v>
      </c>
      <c r="N186" s="216" t="s">
        <v>230</v>
      </c>
      <c r="O186" s="218" t="s">
        <v>75</v>
      </c>
      <c r="P186" s="216" t="s">
        <v>75</v>
      </c>
      <c r="Q186" s="216" t="s">
        <v>75</v>
      </c>
      <c r="R186" s="216" t="s">
        <v>75</v>
      </c>
      <c r="S186" s="216" t="s">
        <v>75</v>
      </c>
      <c r="T186" s="216"/>
      <c r="U186" s="295"/>
      <c r="V186" s="216" t="s">
        <v>230</v>
      </c>
      <c r="W186" s="216" t="s">
        <v>230</v>
      </c>
      <c r="X186" s="218" t="s">
        <v>75</v>
      </c>
      <c r="Y186" s="216" t="s">
        <v>75</v>
      </c>
      <c r="Z186" s="216" t="s">
        <v>75</v>
      </c>
      <c r="AA186" s="213" t="s">
        <v>75</v>
      </c>
      <c r="AB186" s="213" t="s">
        <v>75</v>
      </c>
      <c r="AC186" s="728"/>
    </row>
    <row r="187" spans="1:29" ht="16.2" customHeight="1" x14ac:dyDescent="0.25">
      <c r="A187" s="284"/>
      <c r="B187" s="217" t="s">
        <v>550</v>
      </c>
      <c r="C187" s="217" t="s">
        <v>551</v>
      </c>
      <c r="D187" s="216">
        <v>75</v>
      </c>
      <c r="E187" s="216">
        <v>75</v>
      </c>
      <c r="F187" s="218">
        <v>60</v>
      </c>
      <c r="G187" s="216">
        <v>65</v>
      </c>
      <c r="H187" s="216">
        <v>70</v>
      </c>
      <c r="I187" s="216">
        <v>100</v>
      </c>
      <c r="J187" s="216">
        <v>105</v>
      </c>
      <c r="K187" s="216"/>
      <c r="L187" s="216"/>
      <c r="M187" s="216">
        <v>75</v>
      </c>
      <c r="N187" s="216">
        <v>75</v>
      </c>
      <c r="O187" s="218">
        <v>60</v>
      </c>
      <c r="P187" s="216">
        <v>65</v>
      </c>
      <c r="Q187" s="216">
        <v>70</v>
      </c>
      <c r="R187" s="216">
        <v>100</v>
      </c>
      <c r="S187" s="216">
        <v>105</v>
      </c>
      <c r="T187" s="216"/>
      <c r="U187" s="295"/>
      <c r="V187" s="216" t="s">
        <v>230</v>
      </c>
      <c r="W187" s="216" t="s">
        <v>230</v>
      </c>
      <c r="X187" s="200" t="s">
        <v>230</v>
      </c>
      <c r="Y187" s="213" t="s">
        <v>230</v>
      </c>
      <c r="Z187" s="213" t="s">
        <v>230</v>
      </c>
      <c r="AA187" s="213" t="s">
        <v>75</v>
      </c>
      <c r="AB187" s="213" t="s">
        <v>75</v>
      </c>
      <c r="AC187" s="728"/>
    </row>
    <row r="188" spans="1:29" ht="15" customHeight="1" x14ac:dyDescent="0.25">
      <c r="A188" s="284"/>
      <c r="B188" s="217" t="s">
        <v>552</v>
      </c>
      <c r="C188" s="217" t="s">
        <v>553</v>
      </c>
      <c r="D188" s="216" t="s">
        <v>230</v>
      </c>
      <c r="E188" s="216" t="s">
        <v>230</v>
      </c>
      <c r="F188" s="218" t="s">
        <v>75</v>
      </c>
      <c r="G188" s="216" t="s">
        <v>75</v>
      </c>
      <c r="H188" s="216" t="s">
        <v>75</v>
      </c>
      <c r="I188" s="216" t="s">
        <v>75</v>
      </c>
      <c r="J188" s="216" t="s">
        <v>75</v>
      </c>
      <c r="K188" s="216"/>
      <c r="L188" s="303"/>
      <c r="M188" s="216" t="s">
        <v>230</v>
      </c>
      <c r="N188" s="216" t="s">
        <v>230</v>
      </c>
      <c r="O188" s="218" t="s">
        <v>75</v>
      </c>
      <c r="P188" s="216" t="s">
        <v>75</v>
      </c>
      <c r="Q188" s="216" t="s">
        <v>75</v>
      </c>
      <c r="R188" s="216" t="s">
        <v>75</v>
      </c>
      <c r="S188" s="216" t="s">
        <v>75</v>
      </c>
      <c r="T188" s="216"/>
      <c r="U188" s="295"/>
      <c r="V188" s="216" t="s">
        <v>230</v>
      </c>
      <c r="W188" s="216" t="s">
        <v>230</v>
      </c>
      <c r="X188" s="218" t="s">
        <v>75</v>
      </c>
      <c r="Y188" s="216" t="s">
        <v>75</v>
      </c>
      <c r="Z188" s="216" t="s">
        <v>75</v>
      </c>
      <c r="AA188" s="213" t="s">
        <v>75</v>
      </c>
      <c r="AB188" s="213" t="s">
        <v>75</v>
      </c>
      <c r="AC188" s="728"/>
    </row>
    <row r="189" spans="1:29" ht="15" customHeight="1" x14ac:dyDescent="0.25">
      <c r="A189" s="284"/>
      <c r="B189" s="217" t="s">
        <v>554</v>
      </c>
      <c r="C189" s="217" t="s">
        <v>555</v>
      </c>
      <c r="D189" s="216">
        <v>35</v>
      </c>
      <c r="E189" s="216">
        <v>40</v>
      </c>
      <c r="F189" s="218" t="s">
        <v>75</v>
      </c>
      <c r="G189" s="216">
        <v>40</v>
      </c>
      <c r="H189" s="216">
        <v>35</v>
      </c>
      <c r="I189" s="216">
        <v>25</v>
      </c>
      <c r="J189" s="216" t="s">
        <v>75</v>
      </c>
      <c r="K189" s="216"/>
      <c r="L189" s="216"/>
      <c r="M189" s="216">
        <v>35</v>
      </c>
      <c r="N189" s="216">
        <v>40</v>
      </c>
      <c r="O189" s="218" t="s">
        <v>75</v>
      </c>
      <c r="P189" s="216">
        <v>40</v>
      </c>
      <c r="Q189" s="216">
        <v>35</v>
      </c>
      <c r="R189" s="216">
        <v>25</v>
      </c>
      <c r="S189" s="216" t="s">
        <v>75</v>
      </c>
      <c r="T189" s="216"/>
      <c r="U189" s="295"/>
      <c r="V189" s="216" t="s">
        <v>230</v>
      </c>
      <c r="W189" s="216" t="s">
        <v>230</v>
      </c>
      <c r="X189" s="218" t="s">
        <v>75</v>
      </c>
      <c r="Y189" s="216" t="s">
        <v>230</v>
      </c>
      <c r="Z189" s="216" t="s">
        <v>230</v>
      </c>
      <c r="AA189" s="213" t="s">
        <v>75</v>
      </c>
      <c r="AB189" s="213" t="s">
        <v>75</v>
      </c>
      <c r="AC189" s="728"/>
    </row>
    <row r="190" spans="1:29" ht="15" customHeight="1" x14ac:dyDescent="0.25">
      <c r="A190" s="284"/>
      <c r="B190" s="217" t="s">
        <v>556</v>
      </c>
      <c r="C190" s="217" t="s">
        <v>557</v>
      </c>
      <c r="D190" s="216">
        <v>50</v>
      </c>
      <c r="E190" s="216">
        <v>55</v>
      </c>
      <c r="F190" s="218" t="s">
        <v>75</v>
      </c>
      <c r="G190" s="216" t="s">
        <v>75</v>
      </c>
      <c r="H190" s="216" t="s">
        <v>75</v>
      </c>
      <c r="I190" s="216">
        <v>60</v>
      </c>
      <c r="J190" s="216">
        <v>55</v>
      </c>
      <c r="K190" s="216"/>
      <c r="L190" s="216"/>
      <c r="M190" s="216">
        <v>50</v>
      </c>
      <c r="N190" s="216">
        <v>55</v>
      </c>
      <c r="O190" s="218" t="s">
        <v>75</v>
      </c>
      <c r="P190" s="216" t="s">
        <v>75</v>
      </c>
      <c r="Q190" s="216" t="s">
        <v>75</v>
      </c>
      <c r="R190" s="216">
        <v>60</v>
      </c>
      <c r="S190" s="216">
        <v>55</v>
      </c>
      <c r="T190" s="216"/>
      <c r="U190" s="295"/>
      <c r="V190" s="216" t="s">
        <v>230</v>
      </c>
      <c r="W190" s="216" t="s">
        <v>230</v>
      </c>
      <c r="X190" s="218" t="s">
        <v>75</v>
      </c>
      <c r="Y190" s="216" t="s">
        <v>75</v>
      </c>
      <c r="Z190" s="216" t="s">
        <v>75</v>
      </c>
      <c r="AA190" s="213" t="s">
        <v>75</v>
      </c>
      <c r="AB190" s="213" t="s">
        <v>75</v>
      </c>
      <c r="AC190" s="728"/>
    </row>
    <row r="191" spans="1:29" ht="15" customHeight="1" x14ac:dyDescent="0.25">
      <c r="A191" s="284"/>
      <c r="B191" s="217" t="s">
        <v>558</v>
      </c>
      <c r="C191" s="217" t="s">
        <v>559</v>
      </c>
      <c r="D191" s="216">
        <v>50</v>
      </c>
      <c r="E191" s="216">
        <v>80</v>
      </c>
      <c r="F191" s="218" t="s">
        <v>75</v>
      </c>
      <c r="G191" s="216" t="s">
        <v>75</v>
      </c>
      <c r="H191" s="216" t="s">
        <v>75</v>
      </c>
      <c r="I191" s="216" t="s">
        <v>75</v>
      </c>
      <c r="J191" s="216" t="s">
        <v>75</v>
      </c>
      <c r="K191" s="216"/>
      <c r="L191" s="216"/>
      <c r="M191" s="216">
        <v>50</v>
      </c>
      <c r="N191" s="216">
        <v>80</v>
      </c>
      <c r="O191" s="218" t="s">
        <v>75</v>
      </c>
      <c r="P191" s="216" t="s">
        <v>75</v>
      </c>
      <c r="Q191" s="216" t="s">
        <v>75</v>
      </c>
      <c r="R191" s="216" t="s">
        <v>75</v>
      </c>
      <c r="S191" s="216" t="s">
        <v>75</v>
      </c>
      <c r="T191" s="216"/>
      <c r="U191" s="295"/>
      <c r="V191" s="216">
        <v>5</v>
      </c>
      <c r="W191" s="216" t="s">
        <v>230</v>
      </c>
      <c r="X191" s="218" t="s">
        <v>75</v>
      </c>
      <c r="Y191" s="216" t="s">
        <v>75</v>
      </c>
      <c r="Z191" s="216" t="s">
        <v>75</v>
      </c>
      <c r="AA191" s="213" t="s">
        <v>75</v>
      </c>
      <c r="AB191" s="213" t="s">
        <v>75</v>
      </c>
      <c r="AC191" s="728"/>
    </row>
    <row r="192" spans="1:29" ht="15" customHeight="1" x14ac:dyDescent="0.25">
      <c r="A192" s="284"/>
      <c r="B192" s="217" t="s">
        <v>560</v>
      </c>
      <c r="C192" s="217" t="s">
        <v>561</v>
      </c>
      <c r="D192" s="216">
        <v>105</v>
      </c>
      <c r="E192" s="216">
        <v>80</v>
      </c>
      <c r="F192" s="218">
        <v>80</v>
      </c>
      <c r="G192" s="216">
        <v>60</v>
      </c>
      <c r="H192" s="216">
        <v>80</v>
      </c>
      <c r="I192" s="216">
        <v>65</v>
      </c>
      <c r="J192" s="216">
        <v>70</v>
      </c>
      <c r="K192" s="216"/>
      <c r="L192" s="216"/>
      <c r="M192" s="216">
        <v>60</v>
      </c>
      <c r="N192" s="216">
        <v>50</v>
      </c>
      <c r="O192" s="218">
        <v>45</v>
      </c>
      <c r="P192" s="216">
        <v>55</v>
      </c>
      <c r="Q192" s="216">
        <v>55</v>
      </c>
      <c r="R192" s="216">
        <v>40</v>
      </c>
      <c r="S192" s="216">
        <v>55</v>
      </c>
      <c r="T192" s="216"/>
      <c r="U192" s="295"/>
      <c r="V192" s="216">
        <v>45</v>
      </c>
      <c r="W192" s="216">
        <v>30</v>
      </c>
      <c r="X192" s="218">
        <v>25</v>
      </c>
      <c r="Y192" s="216" t="s">
        <v>230</v>
      </c>
      <c r="Z192" s="216">
        <v>15</v>
      </c>
      <c r="AA192" s="213">
        <v>15</v>
      </c>
      <c r="AB192" s="213">
        <v>10</v>
      </c>
      <c r="AC192" s="728"/>
    </row>
    <row r="193" spans="1:29" ht="15" customHeight="1" x14ac:dyDescent="0.25">
      <c r="A193" s="284"/>
      <c r="B193" s="217" t="s">
        <v>562</v>
      </c>
      <c r="C193" s="217" t="s">
        <v>563</v>
      </c>
      <c r="D193" s="216">
        <v>10</v>
      </c>
      <c r="E193" s="216">
        <v>20</v>
      </c>
      <c r="F193" s="218">
        <v>15</v>
      </c>
      <c r="G193" s="216">
        <v>15</v>
      </c>
      <c r="H193" s="216">
        <v>15</v>
      </c>
      <c r="I193" s="216">
        <v>15</v>
      </c>
      <c r="J193" s="216">
        <v>15</v>
      </c>
      <c r="K193" s="216"/>
      <c r="L193" s="216"/>
      <c r="M193" s="216">
        <v>10</v>
      </c>
      <c r="N193" s="216">
        <v>20</v>
      </c>
      <c r="O193" s="218">
        <v>15</v>
      </c>
      <c r="P193" s="216">
        <v>15</v>
      </c>
      <c r="Q193" s="216">
        <v>15</v>
      </c>
      <c r="R193" s="216">
        <v>15</v>
      </c>
      <c r="S193" s="216">
        <v>15</v>
      </c>
      <c r="T193" s="216"/>
      <c r="U193" s="295"/>
      <c r="V193" s="216" t="s">
        <v>230</v>
      </c>
      <c r="W193" s="216" t="s">
        <v>230</v>
      </c>
      <c r="X193" s="200" t="s">
        <v>230</v>
      </c>
      <c r="Y193" s="213" t="s">
        <v>230</v>
      </c>
      <c r="Z193" s="213" t="s">
        <v>230</v>
      </c>
      <c r="AA193" s="213" t="s">
        <v>75</v>
      </c>
      <c r="AB193" s="213" t="s">
        <v>75</v>
      </c>
      <c r="AC193" s="728"/>
    </row>
    <row r="194" spans="1:29" ht="15" customHeight="1" x14ac:dyDescent="0.25">
      <c r="A194" s="284"/>
      <c r="B194" s="217" t="s">
        <v>564</v>
      </c>
      <c r="C194" s="217" t="s">
        <v>565</v>
      </c>
      <c r="D194" s="216">
        <v>15</v>
      </c>
      <c r="E194" s="216">
        <v>15</v>
      </c>
      <c r="F194" s="218" t="s">
        <v>75</v>
      </c>
      <c r="G194" s="216" t="s">
        <v>75</v>
      </c>
      <c r="H194" s="216" t="s">
        <v>75</v>
      </c>
      <c r="I194" s="216" t="s">
        <v>75</v>
      </c>
      <c r="J194" s="216" t="s">
        <v>75</v>
      </c>
      <c r="K194" s="216"/>
      <c r="L194" s="216"/>
      <c r="M194" s="216">
        <v>15</v>
      </c>
      <c r="N194" s="216">
        <v>15</v>
      </c>
      <c r="O194" s="218" t="s">
        <v>75</v>
      </c>
      <c r="P194" s="216" t="s">
        <v>75</v>
      </c>
      <c r="Q194" s="216" t="s">
        <v>75</v>
      </c>
      <c r="R194" s="216" t="s">
        <v>75</v>
      </c>
      <c r="S194" s="216" t="s">
        <v>75</v>
      </c>
      <c r="T194" s="216"/>
      <c r="U194" s="295"/>
      <c r="V194" s="216" t="s">
        <v>230</v>
      </c>
      <c r="W194" s="216" t="s">
        <v>230</v>
      </c>
      <c r="X194" s="218" t="s">
        <v>75</v>
      </c>
      <c r="Y194" s="216" t="s">
        <v>75</v>
      </c>
      <c r="Z194" s="216" t="s">
        <v>75</v>
      </c>
      <c r="AA194" s="213" t="s">
        <v>75</v>
      </c>
      <c r="AB194" s="213" t="s">
        <v>75</v>
      </c>
      <c r="AC194" s="728"/>
    </row>
    <row r="195" spans="1:29" ht="15" customHeight="1" x14ac:dyDescent="0.25">
      <c r="A195" s="284"/>
      <c r="B195" s="217" t="s">
        <v>566</v>
      </c>
      <c r="C195" s="217" t="s">
        <v>567</v>
      </c>
      <c r="D195" s="216">
        <v>5</v>
      </c>
      <c r="E195" s="216" t="s">
        <v>230</v>
      </c>
      <c r="F195" s="218" t="s">
        <v>75</v>
      </c>
      <c r="G195" s="216" t="s">
        <v>75</v>
      </c>
      <c r="H195" s="216" t="s">
        <v>75</v>
      </c>
      <c r="I195" s="216" t="s">
        <v>75</v>
      </c>
      <c r="J195" s="216" t="s">
        <v>75</v>
      </c>
      <c r="K195" s="216"/>
      <c r="L195" s="213"/>
      <c r="M195" s="216" t="s">
        <v>230</v>
      </c>
      <c r="N195" s="216" t="s">
        <v>230</v>
      </c>
      <c r="O195" s="218" t="s">
        <v>75</v>
      </c>
      <c r="P195" s="216" t="s">
        <v>75</v>
      </c>
      <c r="Q195" s="216" t="s">
        <v>75</v>
      </c>
      <c r="R195" s="216" t="s">
        <v>75</v>
      </c>
      <c r="S195" s="216" t="s">
        <v>75</v>
      </c>
      <c r="T195" s="216"/>
      <c r="U195" s="213"/>
      <c r="V195" s="216" t="s">
        <v>230</v>
      </c>
      <c r="W195" s="216" t="s">
        <v>230</v>
      </c>
      <c r="X195" s="218" t="s">
        <v>75</v>
      </c>
      <c r="Y195" s="216" t="s">
        <v>75</v>
      </c>
      <c r="Z195" s="216" t="s">
        <v>75</v>
      </c>
      <c r="AA195" s="213" t="s">
        <v>75</v>
      </c>
      <c r="AB195" s="213" t="s">
        <v>75</v>
      </c>
      <c r="AC195" s="728"/>
    </row>
    <row r="196" spans="1:29" ht="15" customHeight="1" x14ac:dyDescent="0.25">
      <c r="A196" s="284"/>
      <c r="B196" s="217" t="s">
        <v>568</v>
      </c>
      <c r="C196" s="217" t="s">
        <v>569</v>
      </c>
      <c r="D196" s="216">
        <v>25</v>
      </c>
      <c r="E196" s="216">
        <v>35</v>
      </c>
      <c r="F196" s="218">
        <v>50</v>
      </c>
      <c r="G196" s="216">
        <v>40</v>
      </c>
      <c r="H196" s="216">
        <v>50</v>
      </c>
      <c r="I196" s="216">
        <v>50</v>
      </c>
      <c r="J196" s="216">
        <v>60</v>
      </c>
      <c r="K196" s="216"/>
      <c r="L196" s="216"/>
      <c r="M196" s="216">
        <v>5</v>
      </c>
      <c r="N196" s="216">
        <v>20</v>
      </c>
      <c r="O196" s="218">
        <v>20</v>
      </c>
      <c r="P196" s="216">
        <v>15</v>
      </c>
      <c r="Q196" s="216">
        <v>25</v>
      </c>
      <c r="R196" s="216">
        <v>25</v>
      </c>
      <c r="S196" s="216">
        <v>40</v>
      </c>
      <c r="T196" s="216"/>
      <c r="U196" s="295"/>
      <c r="V196" s="216">
        <v>20</v>
      </c>
      <c r="W196" s="216">
        <v>15</v>
      </c>
      <c r="X196" s="218">
        <v>25</v>
      </c>
      <c r="Y196" s="216">
        <v>25</v>
      </c>
      <c r="Z196" s="216">
        <v>25</v>
      </c>
      <c r="AA196" s="213">
        <v>25</v>
      </c>
      <c r="AB196" s="213">
        <v>20</v>
      </c>
      <c r="AC196" s="728"/>
    </row>
    <row r="197" spans="1:29" ht="15" customHeight="1" x14ac:dyDescent="0.25">
      <c r="A197" s="284"/>
      <c r="B197" s="217" t="s">
        <v>998</v>
      </c>
      <c r="C197" s="217" t="s">
        <v>999</v>
      </c>
      <c r="D197" s="216" t="s">
        <v>75</v>
      </c>
      <c r="E197" s="216" t="s">
        <v>75</v>
      </c>
      <c r="F197" s="218" t="s">
        <v>75</v>
      </c>
      <c r="G197" s="216" t="s">
        <v>75</v>
      </c>
      <c r="H197" s="216" t="s">
        <v>75</v>
      </c>
      <c r="I197" s="216" t="s">
        <v>75</v>
      </c>
      <c r="J197" s="216" t="s">
        <v>75</v>
      </c>
      <c r="K197" s="216"/>
      <c r="L197" s="216"/>
      <c r="M197" s="216" t="s">
        <v>75</v>
      </c>
      <c r="N197" s="216" t="s">
        <v>75</v>
      </c>
      <c r="O197" s="218" t="s">
        <v>75</v>
      </c>
      <c r="P197" s="216" t="s">
        <v>75</v>
      </c>
      <c r="Q197" s="216" t="s">
        <v>75</v>
      </c>
      <c r="R197" s="216" t="s">
        <v>75</v>
      </c>
      <c r="S197" s="216" t="s">
        <v>75</v>
      </c>
      <c r="T197" s="216"/>
      <c r="U197" s="295"/>
      <c r="V197" s="216" t="s">
        <v>75</v>
      </c>
      <c r="W197" s="216" t="s">
        <v>75</v>
      </c>
      <c r="X197" s="218" t="s">
        <v>75</v>
      </c>
      <c r="Y197" s="216" t="s">
        <v>75</v>
      </c>
      <c r="Z197" s="216" t="s">
        <v>75</v>
      </c>
      <c r="AA197" s="213" t="s">
        <v>75</v>
      </c>
      <c r="AB197" s="213" t="s">
        <v>75</v>
      </c>
      <c r="AC197" s="728"/>
    </row>
    <row r="198" spans="1:29" ht="15" customHeight="1" x14ac:dyDescent="0.25">
      <c r="A198" s="284"/>
      <c r="B198" s="217" t="s">
        <v>570</v>
      </c>
      <c r="C198" s="217" t="s">
        <v>571</v>
      </c>
      <c r="D198" s="216" t="s">
        <v>230</v>
      </c>
      <c r="E198" s="216" t="s">
        <v>230</v>
      </c>
      <c r="F198" s="218" t="s">
        <v>75</v>
      </c>
      <c r="G198" s="216" t="s">
        <v>75</v>
      </c>
      <c r="H198" s="216" t="s">
        <v>75</v>
      </c>
      <c r="I198" s="216" t="s">
        <v>75</v>
      </c>
      <c r="J198" s="216" t="s">
        <v>75</v>
      </c>
      <c r="K198" s="216"/>
      <c r="L198" s="303"/>
      <c r="M198" s="216" t="s">
        <v>230</v>
      </c>
      <c r="N198" s="216" t="s">
        <v>230</v>
      </c>
      <c r="O198" s="218" t="s">
        <v>75</v>
      </c>
      <c r="P198" s="216" t="s">
        <v>75</v>
      </c>
      <c r="Q198" s="216" t="s">
        <v>75</v>
      </c>
      <c r="R198" s="216" t="s">
        <v>75</v>
      </c>
      <c r="S198" s="216" t="s">
        <v>75</v>
      </c>
      <c r="T198" s="216"/>
      <c r="U198" s="295"/>
      <c r="V198" s="216" t="s">
        <v>230</v>
      </c>
      <c r="W198" s="216" t="s">
        <v>230</v>
      </c>
      <c r="X198" s="218" t="s">
        <v>75</v>
      </c>
      <c r="Y198" s="216" t="s">
        <v>75</v>
      </c>
      <c r="Z198" s="216" t="s">
        <v>75</v>
      </c>
      <c r="AA198" s="213" t="s">
        <v>75</v>
      </c>
      <c r="AB198" s="213" t="s">
        <v>75</v>
      </c>
      <c r="AC198" s="728"/>
    </row>
    <row r="199" spans="1:29" ht="15" customHeight="1" x14ac:dyDescent="0.25">
      <c r="A199" s="284"/>
      <c r="B199" s="217" t="s">
        <v>572</v>
      </c>
      <c r="C199" s="217" t="s">
        <v>573</v>
      </c>
      <c r="D199" s="216">
        <v>20</v>
      </c>
      <c r="E199" s="216">
        <v>10</v>
      </c>
      <c r="F199" s="218" t="s">
        <v>75</v>
      </c>
      <c r="G199" s="216" t="s">
        <v>75</v>
      </c>
      <c r="H199" s="216" t="s">
        <v>75</v>
      </c>
      <c r="I199" s="216" t="s">
        <v>75</v>
      </c>
      <c r="J199" s="216" t="s">
        <v>75</v>
      </c>
      <c r="K199" s="216"/>
      <c r="L199" s="216"/>
      <c r="M199" s="216">
        <v>20</v>
      </c>
      <c r="N199" s="216">
        <v>10</v>
      </c>
      <c r="O199" s="218" t="s">
        <v>75</v>
      </c>
      <c r="P199" s="216" t="s">
        <v>75</v>
      </c>
      <c r="Q199" s="216" t="s">
        <v>75</v>
      </c>
      <c r="R199" s="216" t="s">
        <v>75</v>
      </c>
      <c r="S199" s="216" t="s">
        <v>75</v>
      </c>
      <c r="T199" s="216"/>
      <c r="U199" s="295"/>
      <c r="V199" s="216" t="s">
        <v>230</v>
      </c>
      <c r="W199" s="216" t="s">
        <v>230</v>
      </c>
      <c r="X199" s="218" t="s">
        <v>75</v>
      </c>
      <c r="Y199" s="216" t="s">
        <v>75</v>
      </c>
      <c r="Z199" s="216" t="s">
        <v>75</v>
      </c>
      <c r="AA199" s="213" t="s">
        <v>75</v>
      </c>
      <c r="AB199" s="213" t="s">
        <v>75</v>
      </c>
      <c r="AC199" s="728"/>
    </row>
    <row r="200" spans="1:29" ht="15" customHeight="1" x14ac:dyDescent="0.25">
      <c r="A200" s="284"/>
      <c r="B200" s="217" t="s">
        <v>574</v>
      </c>
      <c r="C200" s="217" t="s">
        <v>575</v>
      </c>
      <c r="D200" s="216">
        <v>775</v>
      </c>
      <c r="E200" s="216">
        <v>1125</v>
      </c>
      <c r="F200" s="218">
        <v>890</v>
      </c>
      <c r="G200" s="216" t="s">
        <v>75</v>
      </c>
      <c r="H200" s="216" t="s">
        <v>75</v>
      </c>
      <c r="I200" s="216" t="s">
        <v>75</v>
      </c>
      <c r="J200" s="216" t="s">
        <v>75</v>
      </c>
      <c r="K200" s="216"/>
      <c r="L200" s="216"/>
      <c r="M200" s="216">
        <v>775</v>
      </c>
      <c r="N200" s="216">
        <v>1125</v>
      </c>
      <c r="O200" s="218">
        <v>890</v>
      </c>
      <c r="P200" s="216" t="s">
        <v>75</v>
      </c>
      <c r="Q200" s="216" t="s">
        <v>75</v>
      </c>
      <c r="R200" s="216" t="s">
        <v>75</v>
      </c>
      <c r="S200" s="216" t="s">
        <v>75</v>
      </c>
      <c r="T200" s="216"/>
      <c r="U200" s="295"/>
      <c r="V200" s="216" t="s">
        <v>230</v>
      </c>
      <c r="W200" s="216" t="s">
        <v>230</v>
      </c>
      <c r="X200" s="200" t="s">
        <v>230</v>
      </c>
      <c r="Y200" s="213" t="s">
        <v>75</v>
      </c>
      <c r="Z200" s="213" t="s">
        <v>75</v>
      </c>
      <c r="AA200" s="213" t="s">
        <v>75</v>
      </c>
      <c r="AB200" s="213" t="s">
        <v>75</v>
      </c>
      <c r="AC200" s="728"/>
    </row>
    <row r="201" spans="1:29" ht="15" customHeight="1" x14ac:dyDescent="0.25">
      <c r="A201" s="284"/>
      <c r="B201" s="217" t="s">
        <v>576</v>
      </c>
      <c r="C201" s="217" t="s">
        <v>577</v>
      </c>
      <c r="D201" s="216" t="s">
        <v>230</v>
      </c>
      <c r="E201" s="216" t="s">
        <v>230</v>
      </c>
      <c r="F201" s="218" t="s">
        <v>75</v>
      </c>
      <c r="G201" s="216" t="s">
        <v>75</v>
      </c>
      <c r="H201" s="216" t="s">
        <v>75</v>
      </c>
      <c r="I201" s="216" t="s">
        <v>75</v>
      </c>
      <c r="J201" s="216" t="s">
        <v>75</v>
      </c>
      <c r="K201" s="216"/>
      <c r="L201" s="216"/>
      <c r="M201" s="216" t="s">
        <v>230</v>
      </c>
      <c r="N201" s="216" t="s">
        <v>230</v>
      </c>
      <c r="O201" s="218" t="s">
        <v>75</v>
      </c>
      <c r="P201" s="216" t="s">
        <v>75</v>
      </c>
      <c r="Q201" s="216" t="s">
        <v>75</v>
      </c>
      <c r="R201" s="216" t="s">
        <v>75</v>
      </c>
      <c r="S201" s="216" t="s">
        <v>75</v>
      </c>
      <c r="T201" s="216"/>
      <c r="U201" s="295"/>
      <c r="V201" s="216" t="s">
        <v>230</v>
      </c>
      <c r="W201" s="216" t="s">
        <v>230</v>
      </c>
      <c r="X201" s="218" t="s">
        <v>75</v>
      </c>
      <c r="Y201" s="216" t="s">
        <v>75</v>
      </c>
      <c r="Z201" s="216" t="s">
        <v>75</v>
      </c>
      <c r="AA201" s="213" t="s">
        <v>75</v>
      </c>
      <c r="AB201" s="213" t="s">
        <v>75</v>
      </c>
      <c r="AC201" s="728"/>
    </row>
    <row r="202" spans="1:29" ht="15" customHeight="1" x14ac:dyDescent="0.25">
      <c r="A202" s="284"/>
      <c r="B202" s="217" t="s">
        <v>578</v>
      </c>
      <c r="C202" s="217" t="s">
        <v>579</v>
      </c>
      <c r="D202" s="216">
        <v>775</v>
      </c>
      <c r="E202" s="216">
        <v>695</v>
      </c>
      <c r="F202" s="218" t="s">
        <v>230</v>
      </c>
      <c r="G202" s="216">
        <v>260</v>
      </c>
      <c r="H202" s="216" t="s">
        <v>75</v>
      </c>
      <c r="I202" s="216" t="s">
        <v>75</v>
      </c>
      <c r="J202" s="216" t="s">
        <v>75</v>
      </c>
      <c r="K202" s="216"/>
      <c r="L202" s="216"/>
      <c r="M202" s="216">
        <v>765</v>
      </c>
      <c r="N202" s="216">
        <v>675</v>
      </c>
      <c r="O202" s="218" t="s">
        <v>230</v>
      </c>
      <c r="P202" s="216">
        <v>255</v>
      </c>
      <c r="Q202" s="216" t="s">
        <v>75</v>
      </c>
      <c r="R202" s="216" t="s">
        <v>75</v>
      </c>
      <c r="S202" s="216" t="s">
        <v>75</v>
      </c>
      <c r="T202" s="216"/>
      <c r="U202" s="295"/>
      <c r="V202" s="216">
        <v>10</v>
      </c>
      <c r="W202" s="216">
        <v>20</v>
      </c>
      <c r="X202" s="218" t="s">
        <v>230</v>
      </c>
      <c r="Y202" s="216" t="s">
        <v>230</v>
      </c>
      <c r="Z202" s="216" t="s">
        <v>75</v>
      </c>
      <c r="AA202" s="213" t="s">
        <v>75</v>
      </c>
      <c r="AB202" s="213" t="s">
        <v>75</v>
      </c>
      <c r="AC202" s="728"/>
    </row>
    <row r="203" spans="1:29" ht="15" customHeight="1" x14ac:dyDescent="0.25">
      <c r="A203" s="284"/>
      <c r="B203" s="217" t="s">
        <v>580</v>
      </c>
      <c r="C203" s="217" t="s">
        <v>581</v>
      </c>
      <c r="D203" s="216">
        <v>45</v>
      </c>
      <c r="E203" s="216">
        <v>45</v>
      </c>
      <c r="F203" s="218" t="s">
        <v>75</v>
      </c>
      <c r="G203" s="216" t="s">
        <v>75</v>
      </c>
      <c r="H203" s="216" t="s">
        <v>75</v>
      </c>
      <c r="I203" s="216" t="s">
        <v>75</v>
      </c>
      <c r="J203" s="216" t="s">
        <v>75</v>
      </c>
      <c r="K203" s="216"/>
      <c r="L203" s="216"/>
      <c r="M203" s="216">
        <v>45</v>
      </c>
      <c r="N203" s="216">
        <v>45</v>
      </c>
      <c r="O203" s="218" t="s">
        <v>75</v>
      </c>
      <c r="P203" s="216" t="s">
        <v>75</v>
      </c>
      <c r="Q203" s="216" t="s">
        <v>75</v>
      </c>
      <c r="R203" s="216" t="s">
        <v>75</v>
      </c>
      <c r="S203" s="216" t="s">
        <v>75</v>
      </c>
      <c r="T203" s="216"/>
      <c r="U203" s="295"/>
      <c r="V203" s="216" t="s">
        <v>230</v>
      </c>
      <c r="W203" s="216" t="s">
        <v>230</v>
      </c>
      <c r="X203" s="218" t="s">
        <v>75</v>
      </c>
      <c r="Y203" s="216" t="s">
        <v>75</v>
      </c>
      <c r="Z203" s="216" t="s">
        <v>75</v>
      </c>
      <c r="AA203" s="213" t="s">
        <v>75</v>
      </c>
      <c r="AB203" s="213" t="s">
        <v>75</v>
      </c>
      <c r="AC203" s="728"/>
    </row>
    <row r="204" spans="1:29" ht="15" customHeight="1" x14ac:dyDescent="0.25">
      <c r="A204" s="284"/>
      <c r="B204" s="217" t="s">
        <v>582</v>
      </c>
      <c r="C204" s="217" t="s">
        <v>583</v>
      </c>
      <c r="D204" s="216" t="s">
        <v>75</v>
      </c>
      <c r="E204" s="216" t="s">
        <v>75</v>
      </c>
      <c r="F204" s="218" t="s">
        <v>75</v>
      </c>
      <c r="G204" s="216" t="s">
        <v>75</v>
      </c>
      <c r="H204" s="216" t="s">
        <v>75</v>
      </c>
      <c r="I204" s="216" t="s">
        <v>230</v>
      </c>
      <c r="J204" s="216">
        <v>5</v>
      </c>
      <c r="K204" s="216"/>
      <c r="L204" s="216"/>
      <c r="M204" s="216" t="s">
        <v>75</v>
      </c>
      <c r="N204" s="216" t="s">
        <v>75</v>
      </c>
      <c r="O204" s="218" t="s">
        <v>75</v>
      </c>
      <c r="P204" s="216" t="s">
        <v>75</v>
      </c>
      <c r="Q204" s="216" t="s">
        <v>75</v>
      </c>
      <c r="R204" s="216" t="s">
        <v>230</v>
      </c>
      <c r="S204" s="216">
        <v>5</v>
      </c>
      <c r="T204" s="216"/>
      <c r="U204" s="295"/>
      <c r="V204" s="216" t="s">
        <v>75</v>
      </c>
      <c r="W204" s="216" t="s">
        <v>75</v>
      </c>
      <c r="X204" s="218" t="s">
        <v>75</v>
      </c>
      <c r="Y204" s="216" t="s">
        <v>75</v>
      </c>
      <c r="Z204" s="216" t="s">
        <v>75</v>
      </c>
      <c r="AA204" s="213" t="s">
        <v>75</v>
      </c>
      <c r="AB204" s="213" t="s">
        <v>75</v>
      </c>
      <c r="AC204" s="728"/>
    </row>
    <row r="205" spans="1:29" ht="15" customHeight="1" x14ac:dyDescent="0.25">
      <c r="A205" s="284"/>
      <c r="B205" s="217" t="s">
        <v>1000</v>
      </c>
      <c r="C205" s="217" t="s">
        <v>1001</v>
      </c>
      <c r="D205" s="216" t="s">
        <v>75</v>
      </c>
      <c r="E205" s="216" t="s">
        <v>75</v>
      </c>
      <c r="F205" s="218" t="s">
        <v>75</v>
      </c>
      <c r="G205" s="216" t="s">
        <v>75</v>
      </c>
      <c r="H205" s="216" t="s">
        <v>75</v>
      </c>
      <c r="I205" s="216" t="s">
        <v>75</v>
      </c>
      <c r="J205" s="216" t="s">
        <v>75</v>
      </c>
      <c r="K205" s="216"/>
      <c r="L205" s="216"/>
      <c r="M205" s="216" t="s">
        <v>75</v>
      </c>
      <c r="N205" s="216" t="s">
        <v>75</v>
      </c>
      <c r="O205" s="218" t="s">
        <v>75</v>
      </c>
      <c r="P205" s="216" t="s">
        <v>75</v>
      </c>
      <c r="Q205" s="216" t="s">
        <v>75</v>
      </c>
      <c r="R205" s="216" t="s">
        <v>75</v>
      </c>
      <c r="S205" s="216" t="s">
        <v>75</v>
      </c>
      <c r="T205" s="216"/>
      <c r="U205" s="295"/>
      <c r="V205" s="216" t="s">
        <v>75</v>
      </c>
      <c r="W205" s="216" t="s">
        <v>75</v>
      </c>
      <c r="X205" s="218" t="s">
        <v>75</v>
      </c>
      <c r="Y205" s="216" t="s">
        <v>75</v>
      </c>
      <c r="Z205" s="216" t="s">
        <v>75</v>
      </c>
      <c r="AA205" s="213" t="s">
        <v>75</v>
      </c>
      <c r="AB205" s="213" t="s">
        <v>75</v>
      </c>
      <c r="AC205" s="728"/>
    </row>
    <row r="206" spans="1:29" ht="15" customHeight="1" x14ac:dyDescent="0.25">
      <c r="A206" s="284"/>
      <c r="B206" s="217" t="s">
        <v>584</v>
      </c>
      <c r="C206" s="217" t="s">
        <v>585</v>
      </c>
      <c r="D206" s="216">
        <v>45</v>
      </c>
      <c r="E206" s="216">
        <v>45</v>
      </c>
      <c r="F206" s="218" t="s">
        <v>75</v>
      </c>
      <c r="G206" s="216" t="s">
        <v>75</v>
      </c>
      <c r="H206" s="216" t="s">
        <v>75</v>
      </c>
      <c r="I206" s="216" t="s">
        <v>75</v>
      </c>
      <c r="J206" s="216" t="s">
        <v>75</v>
      </c>
      <c r="K206" s="216"/>
      <c r="L206" s="216"/>
      <c r="M206" s="216">
        <v>45</v>
      </c>
      <c r="N206" s="216">
        <v>45</v>
      </c>
      <c r="O206" s="218" t="s">
        <v>75</v>
      </c>
      <c r="P206" s="216" t="s">
        <v>75</v>
      </c>
      <c r="Q206" s="216" t="s">
        <v>75</v>
      </c>
      <c r="R206" s="216" t="s">
        <v>75</v>
      </c>
      <c r="S206" s="216" t="s">
        <v>75</v>
      </c>
      <c r="T206" s="216"/>
      <c r="U206" s="295"/>
      <c r="V206" s="216" t="s">
        <v>230</v>
      </c>
      <c r="W206" s="216" t="s">
        <v>230</v>
      </c>
      <c r="X206" s="218" t="s">
        <v>75</v>
      </c>
      <c r="Y206" s="216" t="s">
        <v>75</v>
      </c>
      <c r="Z206" s="216" t="s">
        <v>75</v>
      </c>
      <c r="AA206" s="213" t="s">
        <v>75</v>
      </c>
      <c r="AB206" s="213" t="s">
        <v>75</v>
      </c>
      <c r="AC206" s="728"/>
    </row>
    <row r="207" spans="1:29" ht="15" customHeight="1" x14ac:dyDescent="0.25">
      <c r="A207" s="284"/>
      <c r="B207" s="217" t="s">
        <v>586</v>
      </c>
      <c r="C207" s="217" t="s">
        <v>587</v>
      </c>
      <c r="D207" s="216">
        <v>800</v>
      </c>
      <c r="E207" s="216">
        <v>1320</v>
      </c>
      <c r="F207" s="218">
        <v>785</v>
      </c>
      <c r="G207" s="216">
        <v>770</v>
      </c>
      <c r="H207" s="216">
        <v>720</v>
      </c>
      <c r="I207" s="216">
        <v>645</v>
      </c>
      <c r="J207" s="216">
        <v>520</v>
      </c>
      <c r="K207" s="216"/>
      <c r="L207" s="188"/>
      <c r="M207" s="216">
        <v>795</v>
      </c>
      <c r="N207" s="216">
        <v>1320</v>
      </c>
      <c r="O207" s="218">
        <v>780</v>
      </c>
      <c r="P207" s="216">
        <v>770</v>
      </c>
      <c r="Q207" s="216">
        <v>720</v>
      </c>
      <c r="R207" s="216">
        <v>645</v>
      </c>
      <c r="S207" s="216">
        <v>520</v>
      </c>
      <c r="T207" s="216"/>
      <c r="U207" s="188"/>
      <c r="V207" s="216">
        <v>5</v>
      </c>
      <c r="W207" s="216" t="s">
        <v>230</v>
      </c>
      <c r="X207" s="218" t="s">
        <v>230</v>
      </c>
      <c r="Y207" s="216" t="s">
        <v>230</v>
      </c>
      <c r="Z207" s="216" t="s">
        <v>230</v>
      </c>
      <c r="AA207" s="213" t="s">
        <v>75</v>
      </c>
      <c r="AB207" s="213" t="s">
        <v>75</v>
      </c>
      <c r="AC207" s="728"/>
    </row>
    <row r="208" spans="1:29" ht="16.2" customHeight="1" x14ac:dyDescent="0.25">
      <c r="A208" s="284"/>
      <c r="B208" s="217" t="s">
        <v>588</v>
      </c>
      <c r="C208" s="217" t="s">
        <v>589</v>
      </c>
      <c r="D208" s="216">
        <v>60</v>
      </c>
      <c r="E208" s="216">
        <v>70</v>
      </c>
      <c r="F208" s="218" t="s">
        <v>230</v>
      </c>
      <c r="G208" s="216" t="s">
        <v>75</v>
      </c>
      <c r="H208" s="216" t="s">
        <v>75</v>
      </c>
      <c r="I208" s="216" t="s">
        <v>75</v>
      </c>
      <c r="J208" s="216" t="s">
        <v>75</v>
      </c>
      <c r="K208" s="216"/>
      <c r="L208" s="216"/>
      <c r="M208" s="216">
        <v>60</v>
      </c>
      <c r="N208" s="216">
        <v>70</v>
      </c>
      <c r="O208" s="218" t="s">
        <v>230</v>
      </c>
      <c r="P208" s="216" t="s">
        <v>75</v>
      </c>
      <c r="Q208" s="216" t="s">
        <v>75</v>
      </c>
      <c r="R208" s="216" t="s">
        <v>75</v>
      </c>
      <c r="S208" s="216" t="s">
        <v>75</v>
      </c>
      <c r="T208" s="216"/>
      <c r="U208" s="295"/>
      <c r="V208" s="216" t="s">
        <v>230</v>
      </c>
      <c r="W208" s="216" t="s">
        <v>230</v>
      </c>
      <c r="X208" s="218" t="s">
        <v>230</v>
      </c>
      <c r="Y208" s="216" t="s">
        <v>75</v>
      </c>
      <c r="Z208" s="216" t="s">
        <v>75</v>
      </c>
      <c r="AA208" s="213" t="s">
        <v>75</v>
      </c>
      <c r="AB208" s="213" t="s">
        <v>75</v>
      </c>
      <c r="AC208" s="728"/>
    </row>
    <row r="209" spans="1:29" ht="16.2" customHeight="1" x14ac:dyDescent="0.25">
      <c r="A209" s="284"/>
      <c r="B209" s="217" t="s">
        <v>590</v>
      </c>
      <c r="C209" s="217" t="s">
        <v>591</v>
      </c>
      <c r="D209" s="216" t="s">
        <v>230</v>
      </c>
      <c r="E209" s="216" t="s">
        <v>230</v>
      </c>
      <c r="F209" s="218" t="s">
        <v>75</v>
      </c>
      <c r="G209" s="216" t="s">
        <v>75</v>
      </c>
      <c r="H209" s="216" t="s">
        <v>75</v>
      </c>
      <c r="I209" s="216" t="s">
        <v>75</v>
      </c>
      <c r="J209" s="216" t="s">
        <v>75</v>
      </c>
      <c r="K209" s="216"/>
      <c r="L209" s="216"/>
      <c r="M209" s="216" t="s">
        <v>230</v>
      </c>
      <c r="N209" s="216" t="s">
        <v>230</v>
      </c>
      <c r="O209" s="218" t="s">
        <v>75</v>
      </c>
      <c r="P209" s="216" t="s">
        <v>75</v>
      </c>
      <c r="Q209" s="216" t="s">
        <v>75</v>
      </c>
      <c r="R209" s="216" t="s">
        <v>75</v>
      </c>
      <c r="S209" s="216" t="s">
        <v>75</v>
      </c>
      <c r="T209" s="216"/>
      <c r="U209" s="295"/>
      <c r="V209" s="216" t="s">
        <v>230</v>
      </c>
      <c r="W209" s="216" t="s">
        <v>230</v>
      </c>
      <c r="X209" s="218" t="s">
        <v>75</v>
      </c>
      <c r="Y209" s="216" t="s">
        <v>75</v>
      </c>
      <c r="Z209" s="216" t="s">
        <v>75</v>
      </c>
      <c r="AA209" s="213" t="s">
        <v>75</v>
      </c>
      <c r="AB209" s="213" t="s">
        <v>75</v>
      </c>
      <c r="AC209" s="728"/>
    </row>
    <row r="210" spans="1:29" ht="16.2" customHeight="1" x14ac:dyDescent="0.25">
      <c r="A210" s="284"/>
      <c r="B210" s="217" t="s">
        <v>592</v>
      </c>
      <c r="C210" s="217" t="s">
        <v>593</v>
      </c>
      <c r="D210" s="216">
        <v>50</v>
      </c>
      <c r="E210" s="216">
        <v>65</v>
      </c>
      <c r="F210" s="218" t="s">
        <v>75</v>
      </c>
      <c r="G210" s="216" t="s">
        <v>75</v>
      </c>
      <c r="H210" s="216" t="s">
        <v>75</v>
      </c>
      <c r="I210" s="216">
        <v>70</v>
      </c>
      <c r="J210" s="216">
        <v>75</v>
      </c>
      <c r="K210" s="216"/>
      <c r="L210" s="216"/>
      <c r="M210" s="216">
        <v>50</v>
      </c>
      <c r="N210" s="216">
        <v>65</v>
      </c>
      <c r="O210" s="218" t="s">
        <v>75</v>
      </c>
      <c r="P210" s="216" t="s">
        <v>75</v>
      </c>
      <c r="Q210" s="216" t="s">
        <v>75</v>
      </c>
      <c r="R210" s="216">
        <v>70</v>
      </c>
      <c r="S210" s="216">
        <v>75</v>
      </c>
      <c r="T210" s="216"/>
      <c r="U210" s="295"/>
      <c r="V210" s="216" t="s">
        <v>230</v>
      </c>
      <c r="W210" s="216" t="s">
        <v>230</v>
      </c>
      <c r="X210" s="218" t="s">
        <v>75</v>
      </c>
      <c r="Y210" s="216" t="s">
        <v>75</v>
      </c>
      <c r="Z210" s="216" t="s">
        <v>75</v>
      </c>
      <c r="AA210" s="213" t="s">
        <v>75</v>
      </c>
      <c r="AB210" s="213" t="s">
        <v>75</v>
      </c>
      <c r="AC210" s="728"/>
    </row>
    <row r="211" spans="1:29" ht="16.2" customHeight="1" x14ac:dyDescent="0.25">
      <c r="A211" s="284"/>
      <c r="B211" s="217" t="s">
        <v>594</v>
      </c>
      <c r="C211" s="217" t="s">
        <v>595</v>
      </c>
      <c r="D211" s="216" t="s">
        <v>75</v>
      </c>
      <c r="E211" s="216" t="s">
        <v>75</v>
      </c>
      <c r="F211" s="218" t="s">
        <v>75</v>
      </c>
      <c r="G211" s="216" t="s">
        <v>75</v>
      </c>
      <c r="H211" s="216" t="s">
        <v>75</v>
      </c>
      <c r="I211" s="216">
        <v>25</v>
      </c>
      <c r="J211" s="216">
        <v>35</v>
      </c>
      <c r="K211" s="216"/>
      <c r="L211" s="216"/>
      <c r="M211" s="216" t="s">
        <v>75</v>
      </c>
      <c r="N211" s="216" t="s">
        <v>75</v>
      </c>
      <c r="O211" s="218" t="s">
        <v>75</v>
      </c>
      <c r="P211" s="216" t="s">
        <v>75</v>
      </c>
      <c r="Q211" s="216" t="s">
        <v>75</v>
      </c>
      <c r="R211" s="216">
        <v>25</v>
      </c>
      <c r="S211" s="216">
        <v>35</v>
      </c>
      <c r="T211" s="216"/>
      <c r="U211" s="295"/>
      <c r="V211" s="216" t="s">
        <v>75</v>
      </c>
      <c r="W211" s="216" t="s">
        <v>75</v>
      </c>
      <c r="X211" s="218" t="s">
        <v>75</v>
      </c>
      <c r="Y211" s="216" t="s">
        <v>75</v>
      </c>
      <c r="Z211" s="216" t="s">
        <v>75</v>
      </c>
      <c r="AA211" s="213" t="s">
        <v>75</v>
      </c>
      <c r="AB211" s="213" t="s">
        <v>75</v>
      </c>
      <c r="AC211" s="728"/>
    </row>
    <row r="212" spans="1:29" ht="16.2" customHeight="1" x14ac:dyDescent="0.25">
      <c r="A212" s="284"/>
      <c r="B212" s="217" t="s">
        <v>596</v>
      </c>
      <c r="C212" s="217" t="s">
        <v>597</v>
      </c>
      <c r="D212" s="216">
        <v>15</v>
      </c>
      <c r="E212" s="216">
        <v>45</v>
      </c>
      <c r="F212" s="218" t="s">
        <v>75</v>
      </c>
      <c r="G212" s="216" t="s">
        <v>75</v>
      </c>
      <c r="H212" s="216" t="s">
        <v>230</v>
      </c>
      <c r="I212" s="216">
        <v>115</v>
      </c>
      <c r="J212" s="216">
        <v>115</v>
      </c>
      <c r="K212" s="216"/>
      <c r="L212" s="216"/>
      <c r="M212" s="216">
        <v>15</v>
      </c>
      <c r="N212" s="216">
        <v>45</v>
      </c>
      <c r="O212" s="218" t="s">
        <v>75</v>
      </c>
      <c r="P212" s="216" t="s">
        <v>75</v>
      </c>
      <c r="Q212" s="216" t="s">
        <v>230</v>
      </c>
      <c r="R212" s="216">
        <v>115</v>
      </c>
      <c r="S212" s="216">
        <v>115</v>
      </c>
      <c r="T212" s="216"/>
      <c r="U212" s="295"/>
      <c r="V212" s="216" t="s">
        <v>230</v>
      </c>
      <c r="W212" s="216" t="s">
        <v>230</v>
      </c>
      <c r="X212" s="218" t="s">
        <v>75</v>
      </c>
      <c r="Y212" s="216" t="s">
        <v>75</v>
      </c>
      <c r="Z212" s="216" t="s">
        <v>230</v>
      </c>
      <c r="AA212" s="213" t="s">
        <v>75</v>
      </c>
      <c r="AB212" s="213" t="s">
        <v>75</v>
      </c>
      <c r="AC212" s="728"/>
    </row>
    <row r="213" spans="1:29" ht="16.2" customHeight="1" x14ac:dyDescent="0.25">
      <c r="A213" s="284"/>
      <c r="B213" s="217" t="s">
        <v>598</v>
      </c>
      <c r="C213" s="217" t="s">
        <v>599</v>
      </c>
      <c r="D213" s="216">
        <v>15</v>
      </c>
      <c r="E213" s="216">
        <v>10</v>
      </c>
      <c r="F213" s="218" t="s">
        <v>75</v>
      </c>
      <c r="G213" s="216" t="s">
        <v>75</v>
      </c>
      <c r="H213" s="216" t="s">
        <v>75</v>
      </c>
      <c r="I213" s="216" t="s">
        <v>75</v>
      </c>
      <c r="J213" s="216" t="s">
        <v>75</v>
      </c>
      <c r="K213" s="216"/>
      <c r="L213" s="216"/>
      <c r="M213" s="216">
        <v>15</v>
      </c>
      <c r="N213" s="216">
        <v>10</v>
      </c>
      <c r="O213" s="218" t="s">
        <v>75</v>
      </c>
      <c r="P213" s="216" t="s">
        <v>75</v>
      </c>
      <c r="Q213" s="216" t="s">
        <v>75</v>
      </c>
      <c r="R213" s="216" t="s">
        <v>75</v>
      </c>
      <c r="S213" s="216" t="s">
        <v>75</v>
      </c>
      <c r="T213" s="216"/>
      <c r="U213" s="295"/>
      <c r="V213" s="216" t="s">
        <v>230</v>
      </c>
      <c r="W213" s="216" t="s">
        <v>230</v>
      </c>
      <c r="X213" s="218" t="s">
        <v>75</v>
      </c>
      <c r="Y213" s="216" t="s">
        <v>75</v>
      </c>
      <c r="Z213" s="216" t="s">
        <v>75</v>
      </c>
      <c r="AA213" s="213" t="s">
        <v>75</v>
      </c>
      <c r="AB213" s="213" t="s">
        <v>75</v>
      </c>
      <c r="AC213" s="728"/>
    </row>
    <row r="214" spans="1:29" ht="16.2" customHeight="1" x14ac:dyDescent="0.25">
      <c r="A214" s="284"/>
      <c r="B214" s="217" t="s">
        <v>600</v>
      </c>
      <c r="C214" s="217" t="s">
        <v>601</v>
      </c>
      <c r="D214" s="216">
        <v>175</v>
      </c>
      <c r="E214" s="216">
        <v>220</v>
      </c>
      <c r="F214" s="218" t="s">
        <v>75</v>
      </c>
      <c r="G214" s="216">
        <v>135</v>
      </c>
      <c r="H214" s="216">
        <v>135</v>
      </c>
      <c r="I214" s="216">
        <v>135</v>
      </c>
      <c r="J214" s="216">
        <v>55</v>
      </c>
      <c r="K214" s="216"/>
      <c r="L214" s="188"/>
      <c r="M214" s="216">
        <v>175</v>
      </c>
      <c r="N214" s="216">
        <v>220</v>
      </c>
      <c r="O214" s="218" t="s">
        <v>75</v>
      </c>
      <c r="P214" s="216">
        <v>135</v>
      </c>
      <c r="Q214" s="216">
        <v>135</v>
      </c>
      <c r="R214" s="216">
        <v>135</v>
      </c>
      <c r="S214" s="216">
        <v>55</v>
      </c>
      <c r="T214" s="216"/>
      <c r="U214" s="295"/>
      <c r="V214" s="216" t="s">
        <v>230</v>
      </c>
      <c r="W214" s="216" t="s">
        <v>230</v>
      </c>
      <c r="X214" s="218" t="s">
        <v>75</v>
      </c>
      <c r="Y214" s="216" t="s">
        <v>230</v>
      </c>
      <c r="Z214" s="216" t="s">
        <v>230</v>
      </c>
      <c r="AA214" s="213" t="s">
        <v>75</v>
      </c>
      <c r="AB214" s="213" t="s">
        <v>75</v>
      </c>
      <c r="AC214" s="728"/>
    </row>
    <row r="215" spans="1:29" ht="16.2" customHeight="1" x14ac:dyDescent="0.25">
      <c r="A215" s="284"/>
      <c r="B215" s="217" t="s">
        <v>602</v>
      </c>
      <c r="C215" s="217" t="s">
        <v>603</v>
      </c>
      <c r="D215" s="216">
        <v>25</v>
      </c>
      <c r="E215" s="216">
        <v>20</v>
      </c>
      <c r="F215" s="218" t="s">
        <v>75</v>
      </c>
      <c r="G215" s="216" t="s">
        <v>75</v>
      </c>
      <c r="H215" s="216" t="s">
        <v>75</v>
      </c>
      <c r="I215" s="216" t="s">
        <v>75</v>
      </c>
      <c r="J215" s="216" t="s">
        <v>75</v>
      </c>
      <c r="K215" s="216"/>
      <c r="L215" s="216"/>
      <c r="M215" s="216">
        <v>25</v>
      </c>
      <c r="N215" s="216">
        <v>20</v>
      </c>
      <c r="O215" s="218" t="s">
        <v>75</v>
      </c>
      <c r="P215" s="216" t="s">
        <v>75</v>
      </c>
      <c r="Q215" s="216" t="s">
        <v>75</v>
      </c>
      <c r="R215" s="216" t="s">
        <v>75</v>
      </c>
      <c r="S215" s="216" t="s">
        <v>75</v>
      </c>
      <c r="T215" s="216"/>
      <c r="U215" s="295"/>
      <c r="V215" s="216" t="s">
        <v>230</v>
      </c>
      <c r="W215" s="216" t="s">
        <v>230</v>
      </c>
      <c r="X215" s="218" t="s">
        <v>75</v>
      </c>
      <c r="Y215" s="216" t="s">
        <v>75</v>
      </c>
      <c r="Z215" s="216" t="s">
        <v>75</v>
      </c>
      <c r="AA215" s="213" t="s">
        <v>75</v>
      </c>
      <c r="AB215" s="213" t="s">
        <v>75</v>
      </c>
      <c r="AC215" s="728"/>
    </row>
    <row r="216" spans="1:29" ht="16.2" customHeight="1" x14ac:dyDescent="0.25">
      <c r="A216" s="284"/>
      <c r="B216" s="217" t="s">
        <v>604</v>
      </c>
      <c r="C216" s="217" t="s">
        <v>605</v>
      </c>
      <c r="D216" s="216">
        <v>10</v>
      </c>
      <c r="E216" s="216" t="s">
        <v>230</v>
      </c>
      <c r="F216" s="218" t="s">
        <v>75</v>
      </c>
      <c r="G216" s="216" t="s">
        <v>230</v>
      </c>
      <c r="H216" s="216" t="s">
        <v>230</v>
      </c>
      <c r="I216" s="216" t="s">
        <v>230</v>
      </c>
      <c r="J216" s="216" t="s">
        <v>75</v>
      </c>
      <c r="K216" s="216"/>
      <c r="L216" s="216"/>
      <c r="M216" s="216">
        <v>10</v>
      </c>
      <c r="N216" s="216" t="s">
        <v>230</v>
      </c>
      <c r="O216" s="218" t="s">
        <v>75</v>
      </c>
      <c r="P216" s="216" t="s">
        <v>230</v>
      </c>
      <c r="Q216" s="216" t="s">
        <v>230</v>
      </c>
      <c r="R216" s="216" t="s">
        <v>75</v>
      </c>
      <c r="S216" s="216" t="s">
        <v>75</v>
      </c>
      <c r="T216" s="216"/>
      <c r="U216" s="295"/>
      <c r="V216" s="216" t="s">
        <v>230</v>
      </c>
      <c r="W216" s="216" t="s">
        <v>230</v>
      </c>
      <c r="X216" s="218" t="s">
        <v>75</v>
      </c>
      <c r="Y216" s="216" t="s">
        <v>230</v>
      </c>
      <c r="Z216" s="216" t="s">
        <v>230</v>
      </c>
      <c r="AA216" s="213" t="s">
        <v>75</v>
      </c>
      <c r="AB216" s="213" t="s">
        <v>75</v>
      </c>
      <c r="AC216" s="728"/>
    </row>
    <row r="217" spans="1:29" ht="16.2" customHeight="1" x14ac:dyDescent="0.25">
      <c r="A217" s="284"/>
      <c r="B217" s="217" t="s">
        <v>606</v>
      </c>
      <c r="C217" s="217" t="s">
        <v>607</v>
      </c>
      <c r="D217" s="216">
        <v>10</v>
      </c>
      <c r="E217" s="216">
        <v>10</v>
      </c>
      <c r="F217" s="218" t="s">
        <v>75</v>
      </c>
      <c r="G217" s="216" t="s">
        <v>75</v>
      </c>
      <c r="H217" s="216" t="s">
        <v>75</v>
      </c>
      <c r="I217" s="216" t="s">
        <v>75</v>
      </c>
      <c r="J217" s="216" t="s">
        <v>75</v>
      </c>
      <c r="K217" s="216"/>
      <c r="L217" s="216"/>
      <c r="M217" s="216">
        <v>5</v>
      </c>
      <c r="N217" s="216">
        <v>5</v>
      </c>
      <c r="O217" s="218" t="s">
        <v>75</v>
      </c>
      <c r="P217" s="216" t="s">
        <v>75</v>
      </c>
      <c r="Q217" s="216" t="s">
        <v>75</v>
      </c>
      <c r="R217" s="216" t="s">
        <v>75</v>
      </c>
      <c r="S217" s="216" t="s">
        <v>75</v>
      </c>
      <c r="T217" s="216"/>
      <c r="U217" s="295"/>
      <c r="V217" s="216">
        <v>5</v>
      </c>
      <c r="W217" s="216" t="s">
        <v>230</v>
      </c>
      <c r="X217" s="218" t="s">
        <v>75</v>
      </c>
      <c r="Y217" s="216" t="s">
        <v>75</v>
      </c>
      <c r="Z217" s="216" t="s">
        <v>75</v>
      </c>
      <c r="AA217" s="213" t="s">
        <v>75</v>
      </c>
      <c r="AB217" s="213" t="s">
        <v>75</v>
      </c>
      <c r="AC217" s="728"/>
    </row>
    <row r="218" spans="1:29" ht="16.2" customHeight="1" x14ac:dyDescent="0.25">
      <c r="A218" s="284"/>
      <c r="B218" s="217" t="s">
        <v>608</v>
      </c>
      <c r="C218" s="217" t="s">
        <v>609</v>
      </c>
      <c r="D218" s="216">
        <v>20</v>
      </c>
      <c r="E218" s="216">
        <v>20</v>
      </c>
      <c r="F218" s="218" t="s">
        <v>75</v>
      </c>
      <c r="G218" s="216" t="s">
        <v>75</v>
      </c>
      <c r="H218" s="216" t="s">
        <v>75</v>
      </c>
      <c r="I218" s="216">
        <v>15</v>
      </c>
      <c r="J218" s="216" t="s">
        <v>75</v>
      </c>
      <c r="K218" s="216"/>
      <c r="L218" s="216"/>
      <c r="M218" s="216">
        <v>15</v>
      </c>
      <c r="N218" s="216">
        <v>25</v>
      </c>
      <c r="O218" s="218" t="s">
        <v>75</v>
      </c>
      <c r="P218" s="216" t="s">
        <v>75</v>
      </c>
      <c r="Q218" s="216" t="s">
        <v>75</v>
      </c>
      <c r="R218" s="216">
        <v>15</v>
      </c>
      <c r="S218" s="216" t="s">
        <v>75</v>
      </c>
      <c r="T218" s="216"/>
      <c r="U218" s="295"/>
      <c r="V218" s="216">
        <v>5</v>
      </c>
      <c r="W218" s="216" t="s">
        <v>230</v>
      </c>
      <c r="X218" s="218" t="s">
        <v>75</v>
      </c>
      <c r="Y218" s="216" t="s">
        <v>75</v>
      </c>
      <c r="Z218" s="216" t="s">
        <v>75</v>
      </c>
      <c r="AA218" s="213" t="s">
        <v>75</v>
      </c>
      <c r="AB218" s="213" t="s">
        <v>75</v>
      </c>
      <c r="AC218" s="728"/>
    </row>
    <row r="219" spans="1:29" ht="16.2" customHeight="1" x14ac:dyDescent="0.25">
      <c r="A219" s="284"/>
      <c r="B219" s="217" t="s">
        <v>610</v>
      </c>
      <c r="C219" s="217" t="s">
        <v>611</v>
      </c>
      <c r="D219" s="216">
        <v>10</v>
      </c>
      <c r="E219" s="216">
        <v>15</v>
      </c>
      <c r="F219" s="218" t="s">
        <v>75</v>
      </c>
      <c r="G219" s="216" t="s">
        <v>75</v>
      </c>
      <c r="H219" s="216" t="s">
        <v>75</v>
      </c>
      <c r="I219" s="216" t="s">
        <v>75</v>
      </c>
      <c r="J219" s="216" t="s">
        <v>75</v>
      </c>
      <c r="K219" s="216"/>
      <c r="L219" s="216"/>
      <c r="M219" s="216">
        <v>10</v>
      </c>
      <c r="N219" s="216">
        <v>15</v>
      </c>
      <c r="O219" s="218" t="s">
        <v>75</v>
      </c>
      <c r="P219" s="216" t="s">
        <v>75</v>
      </c>
      <c r="Q219" s="216" t="s">
        <v>75</v>
      </c>
      <c r="R219" s="216" t="s">
        <v>75</v>
      </c>
      <c r="S219" s="216" t="s">
        <v>75</v>
      </c>
      <c r="T219" s="216"/>
      <c r="U219" s="295"/>
      <c r="V219" s="216" t="s">
        <v>230</v>
      </c>
      <c r="W219" s="216" t="s">
        <v>230</v>
      </c>
      <c r="X219" s="218" t="s">
        <v>75</v>
      </c>
      <c r="Y219" s="216" t="s">
        <v>75</v>
      </c>
      <c r="Z219" s="216" t="s">
        <v>75</v>
      </c>
      <c r="AA219" s="213" t="s">
        <v>75</v>
      </c>
      <c r="AB219" s="213" t="s">
        <v>75</v>
      </c>
      <c r="AC219" s="728"/>
    </row>
    <row r="220" spans="1:29" ht="16.2" customHeight="1" x14ac:dyDescent="0.25">
      <c r="A220" s="284"/>
      <c r="B220" s="217" t="s">
        <v>612</v>
      </c>
      <c r="C220" s="217" t="s">
        <v>613</v>
      </c>
      <c r="D220" s="216" t="s">
        <v>230</v>
      </c>
      <c r="E220" s="216">
        <v>25</v>
      </c>
      <c r="F220" s="218" t="s">
        <v>75</v>
      </c>
      <c r="G220" s="216" t="s">
        <v>75</v>
      </c>
      <c r="H220" s="216" t="s">
        <v>75</v>
      </c>
      <c r="I220" s="216" t="s">
        <v>75</v>
      </c>
      <c r="J220" s="216" t="s">
        <v>75</v>
      </c>
      <c r="K220" s="216"/>
      <c r="L220" s="216"/>
      <c r="M220" s="216" t="s">
        <v>230</v>
      </c>
      <c r="N220" s="216">
        <v>25</v>
      </c>
      <c r="O220" s="218" t="s">
        <v>75</v>
      </c>
      <c r="P220" s="216" t="s">
        <v>75</v>
      </c>
      <c r="Q220" s="216" t="s">
        <v>75</v>
      </c>
      <c r="R220" s="216" t="s">
        <v>75</v>
      </c>
      <c r="S220" s="216" t="s">
        <v>75</v>
      </c>
      <c r="T220" s="216"/>
      <c r="U220" s="295"/>
      <c r="V220" s="216" t="s">
        <v>230</v>
      </c>
      <c r="W220" s="216" t="s">
        <v>230</v>
      </c>
      <c r="X220" s="218" t="s">
        <v>75</v>
      </c>
      <c r="Y220" s="216" t="s">
        <v>75</v>
      </c>
      <c r="Z220" s="216" t="s">
        <v>75</v>
      </c>
      <c r="AA220" s="213" t="s">
        <v>75</v>
      </c>
      <c r="AB220" s="213" t="s">
        <v>75</v>
      </c>
      <c r="AC220" s="728"/>
    </row>
    <row r="221" spans="1:29" ht="16.2" customHeight="1" x14ac:dyDescent="0.25">
      <c r="A221" s="284"/>
      <c r="B221" s="217" t="s">
        <v>614</v>
      </c>
      <c r="C221" s="217" t="s">
        <v>615</v>
      </c>
      <c r="D221" s="216">
        <v>5</v>
      </c>
      <c r="E221" s="216">
        <v>10</v>
      </c>
      <c r="F221" s="218" t="s">
        <v>75</v>
      </c>
      <c r="G221" s="216" t="s">
        <v>75</v>
      </c>
      <c r="H221" s="216" t="s">
        <v>75</v>
      </c>
      <c r="I221" s="216" t="s">
        <v>75</v>
      </c>
      <c r="J221" s="216" t="s">
        <v>75</v>
      </c>
      <c r="K221" s="216"/>
      <c r="L221" s="216"/>
      <c r="M221" s="216">
        <v>5</v>
      </c>
      <c r="N221" s="216">
        <v>10</v>
      </c>
      <c r="O221" s="218" t="s">
        <v>75</v>
      </c>
      <c r="P221" s="216" t="s">
        <v>75</v>
      </c>
      <c r="Q221" s="216" t="s">
        <v>75</v>
      </c>
      <c r="R221" s="216" t="s">
        <v>75</v>
      </c>
      <c r="S221" s="216" t="s">
        <v>75</v>
      </c>
      <c r="T221" s="216"/>
      <c r="U221" s="295"/>
      <c r="V221" s="216" t="s">
        <v>230</v>
      </c>
      <c r="W221" s="216" t="s">
        <v>230</v>
      </c>
      <c r="X221" s="218" t="s">
        <v>75</v>
      </c>
      <c r="Y221" s="216" t="s">
        <v>75</v>
      </c>
      <c r="Z221" s="216" t="s">
        <v>75</v>
      </c>
      <c r="AA221" s="213" t="s">
        <v>75</v>
      </c>
      <c r="AB221" s="213" t="s">
        <v>75</v>
      </c>
      <c r="AC221" s="728"/>
    </row>
    <row r="222" spans="1:29" ht="16.2" customHeight="1" x14ac:dyDescent="0.25">
      <c r="A222" s="284"/>
      <c r="B222" s="217" t="s">
        <v>616</v>
      </c>
      <c r="C222" s="217" t="s">
        <v>617</v>
      </c>
      <c r="D222" s="216">
        <v>10</v>
      </c>
      <c r="E222" s="216">
        <v>10</v>
      </c>
      <c r="F222" s="218" t="s">
        <v>75</v>
      </c>
      <c r="G222" s="216" t="s">
        <v>75</v>
      </c>
      <c r="H222" s="216" t="s">
        <v>75</v>
      </c>
      <c r="I222" s="216" t="s">
        <v>75</v>
      </c>
      <c r="J222" s="216" t="s">
        <v>75</v>
      </c>
      <c r="K222" s="216"/>
      <c r="L222" s="216"/>
      <c r="M222" s="216">
        <v>10</v>
      </c>
      <c r="N222" s="216">
        <v>10</v>
      </c>
      <c r="O222" s="218" t="s">
        <v>75</v>
      </c>
      <c r="P222" s="216" t="s">
        <v>75</v>
      </c>
      <c r="Q222" s="216" t="s">
        <v>75</v>
      </c>
      <c r="R222" s="216" t="s">
        <v>75</v>
      </c>
      <c r="S222" s="216" t="s">
        <v>75</v>
      </c>
      <c r="T222" s="216"/>
      <c r="U222" s="295"/>
      <c r="V222" s="216" t="s">
        <v>230</v>
      </c>
      <c r="W222" s="216" t="s">
        <v>230</v>
      </c>
      <c r="X222" s="218" t="s">
        <v>75</v>
      </c>
      <c r="Y222" s="216" t="s">
        <v>75</v>
      </c>
      <c r="Z222" s="216" t="s">
        <v>75</v>
      </c>
      <c r="AA222" s="213" t="s">
        <v>75</v>
      </c>
      <c r="AB222" s="213" t="s">
        <v>75</v>
      </c>
      <c r="AC222" s="728"/>
    </row>
    <row r="223" spans="1:29" ht="16.2" customHeight="1" x14ac:dyDescent="0.25">
      <c r="A223" s="284"/>
      <c r="B223" s="292"/>
      <c r="C223" s="292" t="s">
        <v>618</v>
      </c>
      <c r="D223" s="216">
        <v>405</v>
      </c>
      <c r="E223" s="216">
        <v>135</v>
      </c>
      <c r="F223" s="218" t="s">
        <v>75</v>
      </c>
      <c r="G223" s="216" t="s">
        <v>75</v>
      </c>
      <c r="H223" s="216" t="s">
        <v>75</v>
      </c>
      <c r="I223" s="216" t="s">
        <v>75</v>
      </c>
      <c r="J223" s="216" t="s">
        <v>75</v>
      </c>
      <c r="K223" s="216" t="s">
        <v>75</v>
      </c>
      <c r="L223" s="188"/>
      <c r="M223" s="216">
        <v>405</v>
      </c>
      <c r="N223" s="216">
        <v>130</v>
      </c>
      <c r="O223" s="218" t="s">
        <v>75</v>
      </c>
      <c r="P223" s="216" t="s">
        <v>75</v>
      </c>
      <c r="Q223" s="216" t="s">
        <v>75</v>
      </c>
      <c r="R223" s="216" t="s">
        <v>75</v>
      </c>
      <c r="S223" s="216" t="s">
        <v>75</v>
      </c>
      <c r="T223" s="216" t="s">
        <v>75</v>
      </c>
      <c r="U223" s="303"/>
      <c r="V223" s="216">
        <v>5</v>
      </c>
      <c r="W223" s="216">
        <v>5</v>
      </c>
      <c r="X223" s="218" t="s">
        <v>75</v>
      </c>
      <c r="Y223" s="216" t="s">
        <v>75</v>
      </c>
      <c r="Z223" s="216" t="s">
        <v>75</v>
      </c>
      <c r="AA223" s="213" t="s">
        <v>75</v>
      </c>
      <c r="AB223" s="213" t="s">
        <v>75</v>
      </c>
      <c r="AC223" s="728" t="s">
        <v>75</v>
      </c>
    </row>
    <row r="224" spans="1:29" ht="16.2" customHeight="1" thickBot="1" x14ac:dyDescent="0.3">
      <c r="A224" s="304"/>
      <c r="B224" s="304"/>
      <c r="C224" s="304"/>
      <c r="D224" s="304"/>
      <c r="E224" s="304"/>
      <c r="F224" s="305"/>
      <c r="G224" s="306"/>
      <c r="H224" s="306"/>
      <c r="I224" s="306"/>
      <c r="J224" s="306"/>
      <c r="K224" s="306"/>
      <c r="L224" s="307"/>
      <c r="M224" s="304"/>
      <c r="N224" s="304"/>
      <c r="O224" s="193"/>
      <c r="P224" s="214"/>
      <c r="Q224" s="214"/>
      <c r="R224" s="214"/>
      <c r="S224" s="214"/>
      <c r="T224" s="214"/>
      <c r="U224" s="308"/>
      <c r="V224" s="304"/>
      <c r="W224" s="304"/>
      <c r="X224" s="305"/>
      <c r="Y224" s="306"/>
      <c r="Z224" s="306"/>
      <c r="AA224" s="306"/>
      <c r="AB224" s="306"/>
    </row>
    <row r="225" spans="1:29" ht="16.2" customHeight="1" x14ac:dyDescent="0.25">
      <c r="A225" s="221"/>
      <c r="B225" s="309"/>
      <c r="C225" s="309"/>
      <c r="F225" s="310"/>
      <c r="G225" s="310"/>
      <c r="H225" s="310"/>
      <c r="I225" s="310"/>
      <c r="J225" s="310"/>
      <c r="K225" s="310"/>
      <c r="L225" s="186"/>
      <c r="O225" s="311"/>
      <c r="P225" s="311"/>
      <c r="Q225" s="311"/>
      <c r="R225" s="311"/>
      <c r="S225" s="311"/>
      <c r="T225" s="311"/>
      <c r="U225" s="44"/>
      <c r="AA225" s="310"/>
      <c r="AB225" s="310"/>
      <c r="AC225" s="502"/>
    </row>
    <row r="226" spans="1:29" ht="16.2" customHeight="1" x14ac:dyDescent="0.25">
      <c r="A226" s="354" t="s">
        <v>852</v>
      </c>
      <c r="B226" s="354"/>
      <c r="C226" s="312"/>
      <c r="D226" s="313"/>
      <c r="E226" s="44"/>
      <c r="F226" s="310"/>
      <c r="G226" s="310"/>
      <c r="H226" s="310"/>
      <c r="I226" s="310"/>
      <c r="J226" s="310"/>
      <c r="K226" s="310"/>
      <c r="L226" s="186"/>
      <c r="M226" s="44"/>
      <c r="N226" s="44"/>
      <c r="O226" s="311"/>
      <c r="P226" s="311"/>
      <c r="Q226" s="311"/>
      <c r="R226" s="311"/>
      <c r="S226" s="311"/>
      <c r="T226" s="311"/>
      <c r="V226" s="44"/>
      <c r="W226" s="44"/>
      <c r="X226" s="44"/>
      <c r="Y226" s="44"/>
      <c r="Z226" s="44"/>
      <c r="AA226" s="286"/>
      <c r="AB226" s="286"/>
    </row>
    <row r="227" spans="1:29" ht="16.2" customHeight="1" x14ac:dyDescent="0.25">
      <c r="A227" s="354"/>
      <c r="B227" s="354"/>
      <c r="C227" s="312"/>
      <c r="D227" s="313"/>
      <c r="E227" s="44"/>
      <c r="F227" s="310"/>
      <c r="G227" s="310"/>
      <c r="H227" s="310"/>
      <c r="I227" s="310"/>
      <c r="J227" s="310"/>
      <c r="K227" s="310"/>
      <c r="L227" s="186"/>
      <c r="M227" s="44"/>
      <c r="N227" s="44"/>
      <c r="O227" s="311"/>
      <c r="P227" s="311"/>
      <c r="Q227" s="311"/>
      <c r="R227" s="311"/>
      <c r="S227" s="311"/>
      <c r="T227" s="311"/>
      <c r="V227" s="44"/>
      <c r="W227" s="44"/>
      <c r="X227" s="44"/>
      <c r="Y227" s="44"/>
      <c r="Z227" s="44"/>
      <c r="AA227" s="286"/>
      <c r="AB227" s="286"/>
    </row>
    <row r="228" spans="1:29" ht="46.5" customHeight="1" x14ac:dyDescent="0.25">
      <c r="A228" s="704" t="s">
        <v>619</v>
      </c>
      <c r="B228" s="705"/>
      <c r="C228" s="705"/>
      <c r="D228" s="705"/>
      <c r="E228" s="705"/>
      <c r="F228" s="705"/>
      <c r="G228" s="705"/>
      <c r="H228" s="705"/>
      <c r="I228" s="705"/>
      <c r="J228" s="705"/>
      <c r="K228" s="705"/>
      <c r="L228" s="705"/>
      <c r="M228" s="705"/>
      <c r="N228" s="705"/>
      <c r="O228" s="311"/>
      <c r="P228" s="311"/>
      <c r="Q228" s="311"/>
      <c r="R228" s="311"/>
      <c r="S228" s="311"/>
      <c r="T228" s="311"/>
      <c r="V228" s="44"/>
      <c r="W228" s="44"/>
      <c r="X228" s="44"/>
      <c r="Y228" s="44"/>
      <c r="Z228" s="44"/>
      <c r="AA228" s="286"/>
      <c r="AB228" s="286"/>
    </row>
    <row r="229" spans="1:29" ht="29.25" customHeight="1" x14ac:dyDescent="0.25">
      <c r="A229" s="704" t="s">
        <v>620</v>
      </c>
      <c r="B229" s="704"/>
      <c r="C229" s="704"/>
      <c r="D229" s="704"/>
      <c r="E229" s="704"/>
      <c r="F229" s="704"/>
      <c r="G229" s="704"/>
      <c r="H229" s="704"/>
      <c r="I229" s="704"/>
      <c r="J229" s="704"/>
      <c r="K229" s="704"/>
      <c r="L229" s="704"/>
      <c r="M229" s="704"/>
      <c r="N229" s="704"/>
      <c r="O229" s="311"/>
      <c r="P229" s="311"/>
      <c r="Q229" s="311"/>
      <c r="R229" s="311"/>
      <c r="S229" s="311"/>
      <c r="T229" s="311"/>
      <c r="V229" s="44"/>
      <c r="W229" s="44"/>
      <c r="X229" s="44"/>
      <c r="Y229" s="44"/>
      <c r="Z229" s="44"/>
      <c r="AA229" s="286"/>
      <c r="AB229" s="286"/>
    </row>
    <row r="230" spans="1:29" ht="16.2" customHeight="1" x14ac:dyDescent="0.25">
      <c r="A230" s="314"/>
      <c r="B230" s="315"/>
      <c r="C230" s="44"/>
      <c r="D230" s="44"/>
      <c r="E230" s="44"/>
      <c r="F230" s="310"/>
      <c r="G230" s="310"/>
      <c r="H230" s="310"/>
      <c r="I230" s="310"/>
      <c r="J230" s="310"/>
      <c r="K230" s="310"/>
      <c r="L230" s="186"/>
      <c r="M230" s="44"/>
      <c r="N230" s="44"/>
      <c r="O230" s="311"/>
      <c r="P230" s="311"/>
      <c r="Q230" s="311"/>
      <c r="R230" s="311"/>
      <c r="S230" s="311"/>
      <c r="T230" s="311"/>
      <c r="U230" s="284"/>
      <c r="V230" s="44"/>
      <c r="W230" s="44"/>
      <c r="X230" s="44"/>
      <c r="Y230" s="44"/>
      <c r="Z230" s="44"/>
    </row>
    <row r="231" spans="1:29" ht="16.2" customHeight="1" x14ac:dyDescent="0.25">
      <c r="A231" s="221" t="s">
        <v>621</v>
      </c>
      <c r="B231" s="221"/>
      <c r="F231" s="286"/>
      <c r="G231" s="286"/>
      <c r="H231" s="286"/>
      <c r="I231" s="286"/>
      <c r="J231" s="286"/>
      <c r="K231" s="286"/>
      <c r="L231" s="186"/>
      <c r="M231" s="44"/>
      <c r="N231" s="44"/>
      <c r="U231" s="316"/>
      <c r="V231" s="44"/>
      <c r="W231" s="44"/>
      <c r="X231" s="44"/>
      <c r="Y231" s="44"/>
      <c r="Z231" s="44"/>
      <c r="AA231" s="311"/>
      <c r="AB231" s="311"/>
    </row>
    <row r="232" spans="1:29" ht="16.2" customHeight="1" x14ac:dyDescent="0.25">
      <c r="A232" s="34" t="s">
        <v>94</v>
      </c>
      <c r="B232" s="309"/>
      <c r="C232" s="309"/>
      <c r="L232" s="186"/>
      <c r="O232" s="286"/>
      <c r="P232" s="286"/>
      <c r="Q232" s="286"/>
      <c r="R232" s="286"/>
      <c r="S232" s="286"/>
      <c r="T232" s="286"/>
      <c r="U232" s="316"/>
      <c r="AA232" s="311"/>
      <c r="AB232" s="311"/>
    </row>
    <row r="233" spans="1:29" ht="16.2" customHeight="1" x14ac:dyDescent="0.25">
      <c r="A233" s="284"/>
      <c r="B233" s="284"/>
      <c r="C233" s="284"/>
      <c r="D233" s="284"/>
      <c r="E233" s="284"/>
      <c r="F233" s="311"/>
      <c r="G233" s="311"/>
      <c r="H233" s="311"/>
      <c r="I233" s="311"/>
      <c r="J233" s="311"/>
      <c r="K233" s="311"/>
      <c r="L233" s="316"/>
      <c r="M233" s="284"/>
      <c r="N233" s="284"/>
      <c r="O233" s="316"/>
      <c r="P233" s="316"/>
      <c r="Q233" s="316"/>
      <c r="R233" s="316"/>
      <c r="S233" s="316"/>
      <c r="T233" s="316"/>
      <c r="U233" s="316"/>
      <c r="V233" s="284"/>
      <c r="W233" s="284"/>
      <c r="X233" s="284"/>
      <c r="Y233" s="284"/>
      <c r="Z233" s="284"/>
      <c r="AA233" s="311"/>
      <c r="AB233" s="311"/>
    </row>
    <row r="234" spans="1:29" ht="16.2" customHeight="1" x14ac:dyDescent="0.25">
      <c r="A234" s="44"/>
      <c r="B234" s="44"/>
      <c r="C234" s="186"/>
      <c r="D234" s="186"/>
      <c r="E234" s="316"/>
      <c r="F234" s="311"/>
      <c r="G234" s="311"/>
      <c r="H234" s="311"/>
      <c r="I234" s="311"/>
      <c r="J234" s="311"/>
      <c r="K234" s="311"/>
      <c r="L234" s="316"/>
      <c r="M234" s="316"/>
      <c r="N234" s="316"/>
      <c r="U234" s="316"/>
      <c r="V234" s="316"/>
      <c r="W234" s="316"/>
      <c r="X234" s="316"/>
      <c r="Y234" s="316"/>
      <c r="Z234" s="316"/>
    </row>
    <row r="235" spans="1:29" ht="16.2" customHeight="1" x14ac:dyDescent="0.25">
      <c r="A235" s="44"/>
      <c r="B235" s="44"/>
      <c r="C235" s="186"/>
      <c r="D235" s="186"/>
      <c r="E235" s="316"/>
      <c r="L235" s="316"/>
      <c r="M235" s="316"/>
      <c r="N235" s="316"/>
      <c r="O235" s="316"/>
      <c r="P235" s="316"/>
      <c r="Q235" s="316"/>
      <c r="R235" s="316"/>
      <c r="S235" s="316"/>
      <c r="T235" s="316"/>
      <c r="U235" s="316"/>
      <c r="V235" s="316"/>
      <c r="W235" s="316"/>
      <c r="X235" s="316"/>
      <c r="Y235" s="316"/>
      <c r="Z235" s="316"/>
      <c r="AA235" s="286"/>
      <c r="AB235" s="286"/>
    </row>
    <row r="236" spans="1:29" ht="16.2" customHeight="1" x14ac:dyDescent="0.25">
      <c r="A236" s="44"/>
      <c r="B236" s="44"/>
      <c r="C236" s="186"/>
      <c r="D236" s="186"/>
      <c r="E236" s="316"/>
      <c r="L236" s="186"/>
      <c r="M236" s="316"/>
      <c r="N236" s="316"/>
      <c r="O236" s="316"/>
      <c r="P236" s="316"/>
      <c r="Q236" s="316"/>
      <c r="R236" s="316"/>
      <c r="S236" s="316"/>
      <c r="T236" s="316"/>
      <c r="U236" s="316"/>
      <c r="V236" s="316"/>
      <c r="W236" s="316"/>
      <c r="X236" s="316"/>
      <c r="Y236" s="316"/>
      <c r="Z236" s="316"/>
      <c r="AA236" s="316"/>
      <c r="AB236" s="316"/>
    </row>
    <row r="237" spans="1:29" ht="16.2" customHeight="1" x14ac:dyDescent="0.25">
      <c r="A237" s="44"/>
      <c r="B237" s="44"/>
      <c r="C237" s="186"/>
      <c r="D237" s="186"/>
      <c r="E237" s="316"/>
      <c r="F237" s="286"/>
      <c r="G237" s="286"/>
      <c r="H237" s="286"/>
      <c r="I237" s="286"/>
      <c r="J237" s="286"/>
      <c r="K237" s="286"/>
      <c r="L237" s="186"/>
      <c r="M237" s="316"/>
      <c r="N237" s="316"/>
      <c r="U237" s="316"/>
      <c r="V237" s="316"/>
      <c r="W237" s="316"/>
      <c r="X237" s="316"/>
      <c r="Y237" s="316"/>
      <c r="Z237" s="316"/>
      <c r="AA237" s="316"/>
      <c r="AB237" s="316"/>
    </row>
    <row r="238" spans="1:29" ht="16.2" customHeight="1" x14ac:dyDescent="0.25">
      <c r="A238" s="44"/>
      <c r="B238" s="44"/>
      <c r="C238" s="186"/>
      <c r="D238" s="186"/>
      <c r="E238" s="316"/>
      <c r="L238" s="186"/>
      <c r="M238" s="316"/>
      <c r="N238" s="316"/>
      <c r="O238" s="316"/>
      <c r="P238" s="316"/>
      <c r="Q238" s="316"/>
      <c r="R238" s="316"/>
      <c r="S238" s="316"/>
      <c r="T238" s="316"/>
      <c r="U238" s="316"/>
      <c r="V238" s="316"/>
      <c r="W238" s="316"/>
      <c r="X238" s="316"/>
      <c r="Y238" s="316"/>
      <c r="Z238" s="316"/>
      <c r="AA238" s="316"/>
      <c r="AB238" s="316"/>
    </row>
    <row r="239" spans="1:29" ht="16.2" customHeight="1" x14ac:dyDescent="0.25">
      <c r="A239" s="44"/>
      <c r="B239" s="44"/>
      <c r="C239" s="317"/>
      <c r="D239" s="316"/>
      <c r="E239" s="316"/>
      <c r="L239" s="286"/>
      <c r="M239" s="316"/>
      <c r="N239" s="316"/>
      <c r="U239" s="316"/>
      <c r="V239" s="316"/>
      <c r="W239" s="316"/>
      <c r="X239" s="316"/>
      <c r="Y239" s="316"/>
      <c r="Z239" s="316"/>
      <c r="AA239" s="316"/>
      <c r="AB239" s="316"/>
    </row>
    <row r="240" spans="1:29" ht="16.2" customHeight="1" x14ac:dyDescent="0.25">
      <c r="A240" s="44"/>
      <c r="B240" s="44"/>
      <c r="C240" s="317"/>
      <c r="D240" s="316"/>
      <c r="E240" s="316"/>
      <c r="F240" s="316"/>
      <c r="G240" s="316"/>
      <c r="H240" s="316"/>
      <c r="I240" s="316"/>
      <c r="J240" s="316"/>
      <c r="K240" s="316"/>
      <c r="M240" s="316"/>
      <c r="N240" s="316"/>
      <c r="U240" s="316"/>
      <c r="V240" s="316"/>
      <c r="W240" s="316"/>
      <c r="X240" s="316"/>
      <c r="Y240" s="316"/>
      <c r="Z240" s="316"/>
      <c r="AA240" s="316"/>
      <c r="AB240" s="316"/>
    </row>
    <row r="241" spans="1:28" ht="16.2" customHeight="1" x14ac:dyDescent="0.25">
      <c r="A241" s="44"/>
      <c r="B241" s="44"/>
      <c r="C241" s="317"/>
      <c r="D241" s="316"/>
      <c r="E241" s="316"/>
      <c r="M241" s="316"/>
      <c r="N241" s="316"/>
      <c r="O241" s="316"/>
      <c r="P241" s="316"/>
      <c r="Q241" s="316"/>
      <c r="R241" s="316"/>
      <c r="S241" s="316"/>
      <c r="T241" s="316"/>
      <c r="U241" s="316"/>
      <c r="V241" s="316"/>
      <c r="W241" s="316"/>
      <c r="X241" s="316"/>
      <c r="Y241" s="316"/>
      <c r="Z241" s="316"/>
      <c r="AA241" s="316"/>
      <c r="AB241" s="316"/>
    </row>
    <row r="242" spans="1:28" ht="16.2" customHeight="1" x14ac:dyDescent="0.25">
      <c r="A242" s="44"/>
      <c r="B242" s="44"/>
      <c r="C242" s="317"/>
      <c r="D242" s="316"/>
      <c r="E242" s="316"/>
      <c r="L242" s="318"/>
      <c r="M242" s="316"/>
      <c r="N242" s="316"/>
      <c r="O242" s="316"/>
      <c r="P242" s="316"/>
      <c r="Q242" s="316"/>
      <c r="R242" s="316"/>
      <c r="S242" s="316"/>
      <c r="T242" s="316"/>
      <c r="U242" s="316"/>
      <c r="V242" s="316"/>
      <c r="W242" s="316"/>
      <c r="X242" s="316"/>
      <c r="Y242" s="316"/>
      <c r="Z242" s="316"/>
      <c r="AA242" s="316"/>
      <c r="AB242" s="316"/>
    </row>
    <row r="243" spans="1:28" ht="16.2" customHeight="1" x14ac:dyDescent="0.25">
      <c r="A243" s="44"/>
      <c r="B243" s="44"/>
      <c r="C243" s="317"/>
      <c r="D243" s="316"/>
      <c r="E243" s="316"/>
      <c r="M243" s="316"/>
      <c r="N243" s="316"/>
      <c r="O243" s="316"/>
      <c r="P243" s="316"/>
      <c r="Q243" s="316"/>
      <c r="R243" s="316"/>
      <c r="S243" s="316"/>
      <c r="T243" s="316"/>
      <c r="U243" s="316"/>
      <c r="V243" s="316"/>
      <c r="W243" s="316"/>
      <c r="X243" s="316"/>
      <c r="Y243" s="316"/>
      <c r="Z243" s="316"/>
      <c r="AA243" s="316"/>
      <c r="AB243" s="316"/>
    </row>
    <row r="244" spans="1:28" ht="16.2" customHeight="1" x14ac:dyDescent="0.25">
      <c r="A244" s="44"/>
      <c r="B244" s="44"/>
      <c r="C244" s="317"/>
      <c r="D244" s="316"/>
      <c r="E244" s="316"/>
      <c r="L244" s="44"/>
      <c r="M244" s="316"/>
      <c r="N244" s="316"/>
      <c r="O244" s="316"/>
      <c r="P244" s="316"/>
      <c r="Q244" s="316"/>
      <c r="R244" s="316"/>
      <c r="S244" s="316"/>
      <c r="T244" s="316"/>
      <c r="U244" s="316"/>
      <c r="V244" s="316"/>
      <c r="W244" s="316"/>
      <c r="X244" s="316"/>
      <c r="Y244" s="316"/>
      <c r="Z244" s="316"/>
      <c r="AA244" s="316"/>
      <c r="AB244" s="316"/>
    </row>
    <row r="245" spans="1:28" ht="16.2" customHeight="1" x14ac:dyDescent="0.25">
      <c r="A245" s="44"/>
      <c r="B245" s="44"/>
      <c r="C245" s="317"/>
      <c r="D245" s="316"/>
      <c r="E245" s="316"/>
      <c r="L245" s="44"/>
      <c r="M245" s="316"/>
      <c r="N245" s="316"/>
      <c r="O245" s="316"/>
      <c r="P245" s="316"/>
      <c r="Q245" s="316"/>
      <c r="R245" s="316"/>
      <c r="S245" s="316"/>
      <c r="T245" s="316"/>
      <c r="U245" s="316"/>
      <c r="V245" s="316"/>
      <c r="W245" s="316"/>
      <c r="X245" s="316"/>
      <c r="Y245" s="316"/>
      <c r="Z245" s="316"/>
      <c r="AA245" s="316"/>
      <c r="AB245" s="316"/>
    </row>
    <row r="246" spans="1:28" ht="16.2" customHeight="1" x14ac:dyDescent="0.25">
      <c r="A246" s="44"/>
      <c r="B246" s="44"/>
      <c r="C246" s="317"/>
      <c r="D246" s="316"/>
      <c r="E246" s="316"/>
      <c r="F246" s="316"/>
      <c r="G246" s="316"/>
      <c r="H246" s="316"/>
      <c r="I246" s="316"/>
      <c r="J246" s="316"/>
      <c r="K246" s="316"/>
      <c r="M246" s="316"/>
      <c r="N246" s="316"/>
      <c r="U246" s="316"/>
      <c r="V246" s="316"/>
      <c r="W246" s="316"/>
      <c r="X246" s="316"/>
      <c r="Y246" s="316"/>
      <c r="Z246" s="316"/>
      <c r="AA246" s="316"/>
      <c r="AB246" s="316"/>
    </row>
    <row r="247" spans="1:28" ht="16.2" customHeight="1" x14ac:dyDescent="0.25">
      <c r="M247" s="316"/>
      <c r="N247" s="316"/>
      <c r="O247" s="316"/>
      <c r="P247" s="316"/>
      <c r="Q247" s="316"/>
      <c r="R247" s="316"/>
      <c r="S247" s="316"/>
      <c r="T247" s="316"/>
      <c r="U247" s="316"/>
      <c r="V247" s="316"/>
      <c r="W247" s="316"/>
      <c r="X247" s="316"/>
      <c r="Y247" s="316"/>
      <c r="Z247" s="316"/>
      <c r="AA247" s="316"/>
      <c r="AB247" s="316"/>
    </row>
    <row r="248" spans="1:28" ht="16.2" customHeight="1" x14ac:dyDescent="0.25">
      <c r="M248" s="316"/>
      <c r="N248" s="316"/>
      <c r="U248" s="318"/>
      <c r="V248" s="316"/>
      <c r="W248" s="316"/>
      <c r="X248" s="316"/>
      <c r="Y248" s="316"/>
      <c r="Z248" s="316"/>
      <c r="AA248" s="316"/>
      <c r="AB248" s="316"/>
    </row>
    <row r="249" spans="1:28" ht="9.75" customHeight="1" x14ac:dyDescent="0.25">
      <c r="M249" s="316"/>
      <c r="N249" s="316"/>
      <c r="V249" s="316"/>
      <c r="W249" s="316"/>
      <c r="X249" s="316"/>
      <c r="Y249" s="316"/>
      <c r="Z249" s="316"/>
      <c r="AA249" s="316"/>
      <c r="AB249" s="316"/>
    </row>
    <row r="250" spans="1:28" ht="15" customHeight="1" x14ac:dyDescent="0.25">
      <c r="M250" s="316"/>
      <c r="N250" s="316"/>
      <c r="O250" s="318"/>
      <c r="P250" s="318"/>
      <c r="Q250" s="318"/>
      <c r="R250" s="318"/>
      <c r="S250" s="318"/>
      <c r="T250" s="318"/>
      <c r="U250" s="44"/>
      <c r="V250" s="316"/>
      <c r="W250" s="316"/>
      <c r="X250" s="316"/>
      <c r="Y250" s="316"/>
      <c r="Z250" s="316"/>
      <c r="AA250" s="316"/>
      <c r="AB250" s="316"/>
    </row>
    <row r="251" spans="1:28" ht="15" customHeight="1" x14ac:dyDescent="0.25">
      <c r="M251" s="318"/>
      <c r="N251" s="318"/>
      <c r="U251" s="44"/>
      <c r="V251" s="318"/>
      <c r="W251" s="318"/>
      <c r="X251" s="318"/>
      <c r="Y251" s="318"/>
      <c r="Z251" s="318"/>
      <c r="AA251" s="316"/>
      <c r="AB251" s="316"/>
    </row>
    <row r="252" spans="1:28" x14ac:dyDescent="0.25">
      <c r="O252" s="311"/>
      <c r="P252" s="311"/>
      <c r="Q252" s="311"/>
      <c r="R252" s="311"/>
      <c r="S252" s="311"/>
      <c r="T252" s="311"/>
      <c r="U252" s="44"/>
      <c r="AA252" s="316"/>
      <c r="AB252" s="316"/>
    </row>
    <row r="253" spans="1:28" s="194" customFormat="1" x14ac:dyDescent="0.25">
      <c r="A253" s="184"/>
      <c r="B253" s="184"/>
      <c r="C253" s="184"/>
      <c r="D253" s="184"/>
      <c r="E253" s="184"/>
      <c r="F253" s="186"/>
      <c r="G253" s="186"/>
      <c r="H253" s="186"/>
      <c r="I253" s="186"/>
      <c r="J253" s="186"/>
      <c r="K253" s="186"/>
      <c r="L253" s="184"/>
      <c r="M253" s="44"/>
      <c r="N253" s="44"/>
      <c r="O253" s="311"/>
      <c r="P253" s="311"/>
      <c r="Q253" s="311"/>
      <c r="R253" s="311"/>
      <c r="S253" s="311"/>
      <c r="T253" s="311"/>
      <c r="U253" s="184"/>
      <c r="V253" s="44"/>
      <c r="W253" s="44"/>
      <c r="X253" s="44"/>
      <c r="Y253" s="44"/>
      <c r="Z253" s="44"/>
      <c r="AA253" s="318"/>
      <c r="AB253" s="318"/>
    </row>
    <row r="254" spans="1:28" s="194" customFormat="1" x14ac:dyDescent="0.25">
      <c r="A254" s="184"/>
      <c r="B254" s="184"/>
      <c r="C254" s="184"/>
      <c r="D254" s="184"/>
      <c r="E254" s="184"/>
      <c r="F254" s="186"/>
      <c r="G254" s="186"/>
      <c r="H254" s="186"/>
      <c r="I254" s="186"/>
      <c r="J254" s="186"/>
      <c r="K254" s="186"/>
      <c r="L254" s="184"/>
      <c r="M254" s="44"/>
      <c r="N254" s="44"/>
      <c r="O254" s="186"/>
      <c r="P254" s="186"/>
      <c r="Q254" s="186"/>
      <c r="R254" s="186"/>
      <c r="S254" s="186"/>
      <c r="T254" s="186"/>
      <c r="U254" s="184"/>
      <c r="V254" s="44"/>
      <c r="W254" s="44"/>
      <c r="X254" s="44"/>
      <c r="Y254" s="44"/>
      <c r="Z254" s="44"/>
      <c r="AA254" s="186"/>
      <c r="AB254" s="186"/>
    </row>
    <row r="255" spans="1:28" s="194" customFormat="1" ht="12.75" customHeight="1" x14ac:dyDescent="0.25">
      <c r="A255" s="184"/>
      <c r="B255" s="184"/>
      <c r="C255" s="184"/>
      <c r="D255" s="184"/>
      <c r="E255" s="184"/>
      <c r="F255" s="186"/>
      <c r="G255" s="186"/>
      <c r="H255" s="186"/>
      <c r="I255" s="186"/>
      <c r="J255" s="186"/>
      <c r="K255" s="186"/>
      <c r="L255" s="184"/>
      <c r="M255" s="184"/>
      <c r="N255" s="184"/>
      <c r="O255" s="186"/>
      <c r="P255" s="186"/>
      <c r="Q255" s="186"/>
      <c r="R255" s="186"/>
      <c r="S255" s="186"/>
      <c r="T255" s="186"/>
      <c r="U255" s="184"/>
      <c r="V255" s="44"/>
      <c r="W255" s="44"/>
      <c r="X255" s="44"/>
      <c r="Y255" s="44"/>
      <c r="Z255" s="44"/>
      <c r="AA255" s="311"/>
      <c r="AB255" s="311"/>
    </row>
    <row r="256" spans="1:28" x14ac:dyDescent="0.25">
      <c r="AA256" s="311"/>
      <c r="AB256" s="311"/>
    </row>
    <row r="257" spans="27:28" x14ac:dyDescent="0.25">
      <c r="AA257" s="311"/>
      <c r="AB257" s="311"/>
    </row>
  </sheetData>
  <sortState ref="B163:AA220">
    <sortCondition ref="C163:C220"/>
  </sortState>
  <mergeCells count="9">
    <mergeCell ref="A229:N229"/>
    <mergeCell ref="A228:N228"/>
    <mergeCell ref="A12:C12"/>
    <mergeCell ref="A5:AA5"/>
    <mergeCell ref="A6:AA6"/>
    <mergeCell ref="A7:AA7"/>
    <mergeCell ref="V9:AC9"/>
    <mergeCell ref="M9:T9"/>
    <mergeCell ref="D9:K9"/>
  </mergeCells>
  <phoneticPr fontId="86" type="noConversion"/>
  <conditionalFormatting sqref="L230:L1048576 L102:L150 L77:L79 L63 L81:L82 L1:L4 L6 L8:L17 L84:L100 L162:L204 L157 L155 L159 L206:L227">
    <cfRule type="duplicateValues" dxfId="13" priority="26"/>
  </conditionalFormatting>
  <conditionalFormatting sqref="A5:B5">
    <cfRule type="duplicateValues" dxfId="12" priority="16"/>
  </conditionalFormatting>
  <conditionalFormatting sqref="L5">
    <cfRule type="duplicateValues" dxfId="11" priority="17"/>
  </conditionalFormatting>
  <conditionalFormatting sqref="A7:B7">
    <cfRule type="duplicateValues" dxfId="10" priority="14"/>
  </conditionalFormatting>
  <conditionalFormatting sqref="L7">
    <cfRule type="duplicateValues" dxfId="9" priority="15"/>
  </conditionalFormatting>
  <conditionalFormatting sqref="A83:B83">
    <cfRule type="duplicateValues" dxfId="8" priority="12"/>
  </conditionalFormatting>
  <conditionalFormatting sqref="L83">
    <cfRule type="duplicateValues" dxfId="7" priority="13"/>
  </conditionalFormatting>
  <conditionalFormatting sqref="A160:B160">
    <cfRule type="duplicateValues" dxfId="6" priority="11"/>
  </conditionalFormatting>
  <conditionalFormatting sqref="A156:B156">
    <cfRule type="duplicateValues" dxfId="5" priority="9"/>
  </conditionalFormatting>
  <conditionalFormatting sqref="B158">
    <cfRule type="duplicateValues" dxfId="4" priority="4"/>
  </conditionalFormatting>
  <conditionalFormatting sqref="A230:B1048576 A81:A82 A1:B4 A78 B78:B82 B20 A6:B6 A228:A229 A8:B19 A21:B23 A77:B77 B24:B37 A24 A26:A29 A31:A33 A35:A36 A39:A41 A161:B227 A43:A46 A48:A56 A58:A61 A63:A66 A68:A71 A73:A76 A157:B157 A84:B155 A159:B159 B39:B76">
    <cfRule type="duplicateValues" dxfId="3" priority="54"/>
  </conditionalFormatting>
  <conditionalFormatting sqref="L205">
    <cfRule type="duplicateValues" dxfId="2" priority="3"/>
  </conditionalFormatting>
  <conditionalFormatting sqref="L49">
    <cfRule type="duplicateValues" dxfId="1" priority="2"/>
  </conditionalFormatting>
  <conditionalFormatting sqref="L38">
    <cfRule type="duplicateValues" dxfId="0" priority="1"/>
  </conditionalFormatting>
  <pageMargins left="0.23622047244094491" right="0.23622047244094491" top="0.74803149606299213" bottom="0.74803149606299213" header="0.31496062992125984" footer="0.31496062992125984"/>
  <pageSetup paperSize="9" scale="48" fitToHeight="0" orientation="landscape" r:id="rId1"/>
  <rowBreaks count="1" manualBreakCount="1">
    <brk id="108" max="20"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1"/>
  <sheetViews>
    <sheetView showGridLines="0" zoomScaleNormal="100" workbookViewId="0"/>
  </sheetViews>
  <sheetFormatPr defaultColWidth="9" defaultRowHeight="13.8" x14ac:dyDescent="0.25"/>
  <cols>
    <col min="1" max="1" width="29.69921875" style="224" customWidth="1"/>
    <col min="2" max="8" width="9.296875" style="224" customWidth="1"/>
    <col min="9" max="9" width="15.19921875" style="224" customWidth="1"/>
    <col min="10" max="10" width="17.19921875" style="224" customWidth="1"/>
    <col min="11" max="11" width="10" style="224" customWidth="1"/>
    <col min="12" max="13" width="12" style="224" customWidth="1"/>
    <col min="14" max="15" width="10" style="224" customWidth="1"/>
    <col min="16" max="16" width="3.296875" style="224" customWidth="1"/>
    <col min="17" max="20" width="10" style="224" customWidth="1"/>
    <col min="21" max="21" width="14.69921875" style="224" bestFit="1" customWidth="1"/>
    <col min="22" max="22" width="16.59765625" style="224" bestFit="1" customWidth="1"/>
    <col min="23" max="23" width="5" style="224" bestFit="1" customWidth="1"/>
    <col min="24" max="25" width="3.796875" style="224" bestFit="1" customWidth="1"/>
    <col min="26" max="27" width="2.796875" style="224" bestFit="1" customWidth="1"/>
    <col min="28" max="29" width="1.796875" style="224" bestFit="1" customWidth="1"/>
    <col min="30" max="30" width="2.796875" style="224" bestFit="1" customWidth="1"/>
    <col min="31" max="31" width="11.19921875" style="224" bestFit="1" customWidth="1"/>
    <col min="32" max="16384" width="9" style="224"/>
  </cols>
  <sheetData>
    <row r="1" spans="1:19" x14ac:dyDescent="0.25">
      <c r="A1" s="11" t="s">
        <v>25</v>
      </c>
      <c r="B1" s="223"/>
      <c r="C1" s="223"/>
      <c r="D1" s="222"/>
      <c r="E1" s="222"/>
      <c r="F1" s="222"/>
      <c r="G1" s="222"/>
      <c r="H1" s="222"/>
      <c r="I1" s="222"/>
      <c r="J1" s="222"/>
      <c r="K1" s="222"/>
      <c r="L1" s="222"/>
      <c r="M1" s="222"/>
      <c r="N1" s="222"/>
      <c r="O1" s="222"/>
      <c r="P1" s="222"/>
      <c r="Q1" s="222"/>
      <c r="R1" s="222"/>
      <c r="S1" s="222"/>
    </row>
    <row r="2" spans="1:19" x14ac:dyDescent="0.25">
      <c r="A2" s="222"/>
      <c r="B2" s="223"/>
      <c r="C2" s="223"/>
      <c r="D2" s="222"/>
      <c r="E2" s="222"/>
      <c r="F2" s="222"/>
      <c r="G2" s="222"/>
      <c r="H2" s="222"/>
      <c r="I2" s="222"/>
      <c r="J2" s="222"/>
      <c r="K2" s="222"/>
      <c r="L2" s="222"/>
      <c r="M2" s="222"/>
      <c r="N2" s="222"/>
      <c r="O2" s="222"/>
      <c r="P2" s="222"/>
      <c r="Q2" s="222"/>
      <c r="R2" s="222"/>
      <c r="S2" s="222"/>
    </row>
    <row r="3" spans="1:19" x14ac:dyDescent="0.25">
      <c r="A3" s="11" t="s">
        <v>853</v>
      </c>
      <c r="B3" s="223"/>
      <c r="C3" s="223"/>
      <c r="D3" s="222"/>
      <c r="E3" s="222"/>
      <c r="F3" s="222"/>
      <c r="G3" s="222"/>
      <c r="H3" s="222"/>
      <c r="I3" s="222"/>
      <c r="J3" s="222"/>
      <c r="K3" s="222"/>
      <c r="L3" s="222"/>
      <c r="M3" s="222"/>
      <c r="N3" s="222"/>
      <c r="O3" s="222"/>
      <c r="P3" s="222"/>
      <c r="Q3" s="222"/>
      <c r="R3" s="222"/>
      <c r="S3" s="222"/>
    </row>
    <row r="4" spans="1:19" x14ac:dyDescent="0.25">
      <c r="A4" s="222"/>
      <c r="B4" s="223"/>
      <c r="C4" s="223"/>
      <c r="D4" s="222"/>
      <c r="E4" s="222"/>
      <c r="F4" s="222"/>
      <c r="G4" s="222"/>
      <c r="H4" s="222"/>
      <c r="I4" s="222"/>
      <c r="J4" s="222"/>
      <c r="K4" s="222"/>
      <c r="L4" s="222"/>
      <c r="M4" s="222"/>
      <c r="N4" s="222"/>
      <c r="O4" s="222"/>
      <c r="P4" s="222"/>
      <c r="Q4" s="222"/>
      <c r="R4" s="222"/>
      <c r="S4" s="222"/>
    </row>
    <row r="5" spans="1:19" ht="108.75" customHeight="1" x14ac:dyDescent="0.25">
      <c r="A5" s="710" t="s">
        <v>854</v>
      </c>
      <c r="B5" s="710"/>
      <c r="C5" s="710"/>
      <c r="D5" s="710"/>
      <c r="E5" s="710"/>
      <c r="F5" s="710"/>
      <c r="G5" s="710"/>
      <c r="H5" s="710"/>
      <c r="I5" s="710"/>
      <c r="J5" s="710"/>
      <c r="K5" s="222"/>
      <c r="L5" s="222"/>
      <c r="M5" s="222"/>
      <c r="N5" s="222"/>
      <c r="O5" s="222"/>
      <c r="P5" s="222"/>
      <c r="Q5" s="222"/>
      <c r="R5" s="222"/>
      <c r="S5" s="222"/>
    </row>
    <row r="6" spans="1:19" ht="14.4" x14ac:dyDescent="0.3">
      <c r="A6" s="225"/>
      <c r="B6" s="226"/>
      <c r="C6" s="226"/>
      <c r="D6" s="226"/>
      <c r="E6" s="226"/>
      <c r="F6" s="226"/>
      <c r="G6" s="226"/>
      <c r="H6" s="225"/>
      <c r="I6" s="225"/>
      <c r="J6" s="225"/>
      <c r="K6" s="225"/>
      <c r="L6" s="225"/>
      <c r="M6" s="225"/>
      <c r="N6" s="225"/>
      <c r="O6" s="225"/>
      <c r="P6" s="225"/>
      <c r="Q6" s="225"/>
      <c r="R6" s="225"/>
      <c r="S6" s="227"/>
    </row>
    <row r="7" spans="1:19" ht="14.4" thickBot="1" x14ac:dyDescent="0.3">
      <c r="A7" s="232"/>
      <c r="B7" s="233"/>
      <c r="C7" s="233"/>
      <c r="D7" s="233"/>
      <c r="E7" s="233"/>
      <c r="F7" s="232"/>
      <c r="G7" s="232"/>
      <c r="H7" s="234"/>
      <c r="I7" s="232"/>
      <c r="J7" s="232"/>
      <c r="K7" s="230"/>
      <c r="L7" s="230"/>
      <c r="M7" s="230"/>
      <c r="N7" s="230"/>
      <c r="O7" s="230"/>
      <c r="P7" s="230"/>
      <c r="Q7" s="235"/>
      <c r="R7" s="236"/>
      <c r="S7" s="236"/>
    </row>
    <row r="8" spans="1:19" ht="28.5" customHeight="1" x14ac:dyDescent="0.25">
      <c r="A8" s="236"/>
      <c r="B8" s="711" t="s">
        <v>622</v>
      </c>
      <c r="C8" s="711"/>
      <c r="D8" s="711"/>
      <c r="E8" s="711"/>
      <c r="F8" s="711"/>
      <c r="G8" s="711"/>
      <c r="H8" s="711"/>
      <c r="I8" s="236"/>
      <c r="J8" s="236"/>
      <c r="K8" s="236"/>
      <c r="L8" s="236"/>
      <c r="M8" s="236"/>
      <c r="N8" s="236"/>
      <c r="O8" s="236"/>
      <c r="P8" s="236"/>
      <c r="Q8" s="236"/>
      <c r="R8" s="236"/>
      <c r="S8" s="236"/>
    </row>
    <row r="9" spans="1:19" ht="52.8" x14ac:dyDescent="0.25">
      <c r="A9" s="237"/>
      <c r="B9" s="321">
        <v>1</v>
      </c>
      <c r="C9" s="321">
        <v>2</v>
      </c>
      <c r="D9" s="321">
        <v>3</v>
      </c>
      <c r="E9" s="321">
        <v>4</v>
      </c>
      <c r="F9" s="321">
        <v>5</v>
      </c>
      <c r="G9" s="321">
        <v>6</v>
      </c>
      <c r="H9" s="321" t="s">
        <v>623</v>
      </c>
      <c r="I9" s="321" t="s">
        <v>995</v>
      </c>
      <c r="J9" s="322" t="s">
        <v>624</v>
      </c>
      <c r="K9" s="236"/>
      <c r="L9" s="236"/>
      <c r="M9" s="236"/>
      <c r="N9" s="236"/>
      <c r="O9" s="236"/>
      <c r="P9" s="236"/>
      <c r="Q9" s="236"/>
      <c r="R9" s="236"/>
      <c r="S9" s="236"/>
    </row>
    <row r="10" spans="1:19" ht="14.4" thickBot="1" x14ac:dyDescent="0.3">
      <c r="A10" s="257"/>
      <c r="B10" s="374"/>
      <c r="C10" s="239"/>
      <c r="D10" s="239"/>
      <c r="E10" s="239"/>
      <c r="F10" s="239"/>
      <c r="G10" s="239"/>
      <c r="H10" s="239"/>
      <c r="I10" s="239"/>
      <c r="J10" s="239"/>
      <c r="K10" s="236"/>
      <c r="L10" s="236"/>
      <c r="M10" s="236"/>
      <c r="N10" s="236"/>
      <c r="O10" s="236"/>
      <c r="P10" s="236"/>
      <c r="Q10" s="236"/>
      <c r="R10" s="236"/>
      <c r="S10" s="236"/>
    </row>
    <row r="11" spans="1:19" x14ac:dyDescent="0.25">
      <c r="A11" s="240"/>
      <c r="B11" s="236"/>
      <c r="C11" s="236"/>
      <c r="D11" s="236"/>
      <c r="E11" s="236"/>
      <c r="F11" s="236"/>
      <c r="G11" s="236"/>
      <c r="H11" s="236"/>
      <c r="I11" s="236"/>
      <c r="J11" s="236"/>
      <c r="K11" s="236"/>
      <c r="L11" s="236"/>
      <c r="M11" s="236"/>
      <c r="N11" s="236"/>
      <c r="O11" s="236"/>
      <c r="P11" s="236"/>
      <c r="Q11" s="236"/>
      <c r="R11" s="236"/>
      <c r="S11" s="236"/>
    </row>
    <row r="12" spans="1:19" x14ac:dyDescent="0.25">
      <c r="A12" s="241" t="s">
        <v>625</v>
      </c>
      <c r="B12" s="242" t="s">
        <v>931</v>
      </c>
      <c r="C12" s="242"/>
      <c r="D12" s="242"/>
      <c r="E12" s="242"/>
      <c r="F12" s="242"/>
      <c r="G12" s="242"/>
      <c r="H12" s="242"/>
      <c r="I12" s="557"/>
      <c r="J12" s="244"/>
      <c r="K12" s="257"/>
      <c r="L12" s="236"/>
      <c r="M12" s="236"/>
      <c r="N12" s="236"/>
      <c r="O12" s="236"/>
      <c r="P12" s="236"/>
      <c r="Q12" s="236"/>
      <c r="R12" s="243"/>
      <c r="S12" s="236"/>
    </row>
    <row r="13" spans="1:19" x14ac:dyDescent="0.25">
      <c r="A13" s="390"/>
      <c r="B13" s="377"/>
      <c r="C13" s="377"/>
      <c r="D13" s="377"/>
      <c r="E13" s="377"/>
      <c r="F13" s="377"/>
      <c r="G13" s="377"/>
      <c r="H13" s="377"/>
      <c r="I13" s="558"/>
      <c r="J13" s="378"/>
      <c r="K13" s="256"/>
      <c r="L13" s="236"/>
      <c r="M13" s="236"/>
      <c r="N13" s="236"/>
      <c r="O13" s="236"/>
      <c r="P13" s="236"/>
      <c r="Q13" s="236"/>
      <c r="R13" s="236"/>
      <c r="S13" s="236"/>
    </row>
    <row r="14" spans="1:19" x14ac:dyDescent="0.25">
      <c r="A14" s="241"/>
      <c r="B14" s="245"/>
      <c r="C14" s="245"/>
      <c r="D14" s="245"/>
      <c r="E14" s="245"/>
      <c r="F14" s="245"/>
      <c r="G14" s="245"/>
      <c r="H14" s="245"/>
      <c r="I14" s="559"/>
      <c r="J14" s="244"/>
      <c r="K14" s="256"/>
      <c r="L14" s="236"/>
      <c r="M14" s="236"/>
      <c r="N14" s="236"/>
      <c r="O14" s="236"/>
      <c r="P14" s="236"/>
      <c r="Q14" s="236"/>
      <c r="R14" s="236"/>
      <c r="S14" s="236"/>
    </row>
    <row r="15" spans="1:19" x14ac:dyDescent="0.25">
      <c r="A15" s="241" t="s">
        <v>146</v>
      </c>
      <c r="B15" s="243"/>
      <c r="C15" s="243"/>
      <c r="D15" s="243"/>
      <c r="E15" s="243"/>
      <c r="F15" s="243"/>
      <c r="G15" s="243"/>
      <c r="H15" s="243"/>
      <c r="I15" s="559"/>
      <c r="J15" s="243"/>
      <c r="K15" s="256"/>
      <c r="L15" s="236"/>
      <c r="M15" s="236"/>
      <c r="N15" s="236"/>
      <c r="O15" s="236"/>
      <c r="P15" s="236"/>
      <c r="Q15" s="236"/>
      <c r="R15" s="236"/>
      <c r="S15" s="236"/>
    </row>
    <row r="16" spans="1:19" x14ac:dyDescent="0.25">
      <c r="A16" s="355" t="s">
        <v>109</v>
      </c>
      <c r="B16" s="245" t="s">
        <v>932</v>
      </c>
      <c r="C16" s="245"/>
      <c r="D16" s="245"/>
      <c r="E16" s="245"/>
      <c r="F16" s="245"/>
      <c r="G16" s="245"/>
      <c r="H16" s="245"/>
      <c r="I16" s="559"/>
      <c r="J16" s="176"/>
      <c r="K16" s="256"/>
      <c r="L16" s="236"/>
      <c r="M16" s="236"/>
      <c r="N16" s="236"/>
      <c r="O16" s="236"/>
      <c r="P16" s="236"/>
      <c r="Q16" s="236"/>
      <c r="R16" s="236"/>
      <c r="S16" s="236"/>
    </row>
    <row r="17" spans="1:19" x14ac:dyDescent="0.25">
      <c r="A17" s="246" t="s">
        <v>110</v>
      </c>
      <c r="B17" s="245"/>
      <c r="C17" s="245"/>
      <c r="D17" s="245"/>
      <c r="E17" s="245"/>
      <c r="F17" s="245"/>
      <c r="G17" s="245"/>
      <c r="H17" s="245"/>
      <c r="I17" s="559"/>
      <c r="J17" s="176"/>
      <c r="K17" s="256"/>
      <c r="L17" s="236"/>
      <c r="M17" s="236"/>
      <c r="N17" s="236"/>
      <c r="O17" s="236"/>
      <c r="P17" s="236"/>
      <c r="Q17" s="236"/>
      <c r="R17" s="236"/>
      <c r="S17" s="236"/>
    </row>
    <row r="18" spans="1:19" x14ac:dyDescent="0.25">
      <c r="A18" s="246" t="s">
        <v>984</v>
      </c>
      <c r="B18" s="245"/>
      <c r="C18" s="245"/>
      <c r="D18" s="245"/>
      <c r="E18" s="245"/>
      <c r="F18" s="245"/>
      <c r="G18" s="245"/>
      <c r="H18" s="245"/>
      <c r="I18" s="559"/>
      <c r="J18" s="176"/>
      <c r="K18" s="256"/>
      <c r="L18" s="236"/>
      <c r="M18" s="236"/>
      <c r="N18" s="236"/>
      <c r="O18" s="236"/>
      <c r="P18" s="236"/>
      <c r="Q18" s="236"/>
      <c r="R18" s="236"/>
      <c r="S18" s="236"/>
    </row>
    <row r="19" spans="1:19" x14ac:dyDescent="0.25">
      <c r="A19" s="246" t="s">
        <v>985</v>
      </c>
      <c r="B19" s="245"/>
      <c r="C19" s="245"/>
      <c r="D19" s="245"/>
      <c r="E19" s="245"/>
      <c r="F19" s="245"/>
      <c r="G19" s="245"/>
      <c r="H19" s="245"/>
      <c r="I19" s="559"/>
      <c r="J19" s="176"/>
      <c r="K19" s="256"/>
      <c r="L19" s="236"/>
      <c r="M19" s="236"/>
      <c r="N19" s="236"/>
      <c r="O19" s="236"/>
      <c r="P19" s="236"/>
      <c r="Q19" s="236"/>
      <c r="R19" s="236"/>
      <c r="S19" s="236"/>
    </row>
    <row r="20" spans="1:19" x14ac:dyDescent="0.25">
      <c r="A20" s="246" t="s">
        <v>986</v>
      </c>
      <c r="B20" s="245"/>
      <c r="C20" s="245"/>
      <c r="D20" s="245"/>
      <c r="E20" s="245"/>
      <c r="F20" s="245"/>
      <c r="G20" s="245"/>
      <c r="H20" s="245"/>
      <c r="I20" s="559"/>
      <c r="J20" s="176"/>
      <c r="K20" s="256"/>
      <c r="L20" s="236"/>
      <c r="M20" s="236"/>
      <c r="N20" s="236"/>
      <c r="O20" s="236"/>
      <c r="P20" s="236"/>
      <c r="Q20" s="236"/>
      <c r="R20" s="236"/>
      <c r="S20" s="236"/>
    </row>
    <row r="21" spans="1:19" x14ac:dyDescent="0.25">
      <c r="A21" s="355" t="s">
        <v>643</v>
      </c>
      <c r="B21" s="245"/>
      <c r="C21" s="245"/>
      <c r="D21" s="245"/>
      <c r="E21" s="245"/>
      <c r="F21" s="245"/>
      <c r="G21" s="245"/>
      <c r="H21" s="245"/>
      <c r="I21" s="559"/>
      <c r="J21" s="247"/>
      <c r="K21" s="256"/>
      <c r="L21" s="236"/>
      <c r="M21" s="236"/>
      <c r="N21" s="236"/>
      <c r="O21" s="236"/>
      <c r="P21" s="236"/>
      <c r="Q21" s="236"/>
      <c r="R21" s="236"/>
      <c r="S21" s="236"/>
    </row>
    <row r="22" spans="1:19" x14ac:dyDescent="0.25">
      <c r="A22" s="391"/>
      <c r="B22" s="379"/>
      <c r="C22" s="379"/>
      <c r="D22" s="379"/>
      <c r="E22" s="379"/>
      <c r="F22" s="379"/>
      <c r="G22" s="380"/>
      <c r="H22" s="380"/>
      <c r="I22" s="560"/>
      <c r="J22" s="381"/>
      <c r="K22" s="256"/>
      <c r="L22" s="236"/>
      <c r="M22" s="236"/>
      <c r="N22" s="236"/>
      <c r="O22" s="236"/>
      <c r="P22" s="236"/>
      <c r="Q22" s="236"/>
      <c r="R22" s="236"/>
      <c r="S22" s="236"/>
    </row>
    <row r="23" spans="1:19" x14ac:dyDescent="0.25">
      <c r="A23" s="355"/>
      <c r="B23" s="245"/>
      <c r="C23" s="245"/>
      <c r="D23" s="245"/>
      <c r="E23" s="245"/>
      <c r="F23" s="245"/>
      <c r="G23" s="243"/>
      <c r="H23" s="243"/>
      <c r="I23" s="559"/>
      <c r="J23" s="247"/>
      <c r="K23" s="256"/>
      <c r="L23" s="236"/>
      <c r="M23" s="236"/>
      <c r="N23" s="236"/>
      <c r="O23" s="236"/>
      <c r="P23" s="236"/>
      <c r="Q23" s="236"/>
      <c r="R23" s="236"/>
      <c r="S23" s="236"/>
    </row>
    <row r="24" spans="1:19" x14ac:dyDescent="0.25">
      <c r="A24" s="241" t="s">
        <v>151</v>
      </c>
      <c r="B24" s="245"/>
      <c r="C24" s="245"/>
      <c r="D24" s="245"/>
      <c r="E24" s="245"/>
      <c r="F24" s="245"/>
      <c r="G24" s="243"/>
      <c r="H24" s="243"/>
      <c r="I24" s="559"/>
      <c r="J24" s="247"/>
      <c r="K24" s="256"/>
      <c r="L24" s="236"/>
      <c r="M24" s="236"/>
      <c r="N24" s="236"/>
      <c r="O24" s="236"/>
      <c r="P24" s="236"/>
      <c r="Q24" s="236"/>
      <c r="R24" s="236"/>
      <c r="S24" s="236"/>
    </row>
    <row r="25" spans="1:19" x14ac:dyDescent="0.25">
      <c r="A25" s="355" t="s">
        <v>101</v>
      </c>
      <c r="B25" s="245" t="s">
        <v>933</v>
      </c>
      <c r="C25" s="245"/>
      <c r="D25" s="245"/>
      <c r="E25" s="245"/>
      <c r="F25" s="245"/>
      <c r="G25" s="245"/>
      <c r="H25" s="245"/>
      <c r="I25" s="559"/>
      <c r="J25" s="176"/>
      <c r="K25"/>
      <c r="L25"/>
      <c r="M25" s="236"/>
      <c r="N25" s="236"/>
      <c r="O25" s="236"/>
      <c r="P25" s="236"/>
      <c r="Q25" s="236"/>
      <c r="R25" s="236"/>
      <c r="S25" s="236"/>
    </row>
    <row r="26" spans="1:19" x14ac:dyDescent="0.25">
      <c r="A26" s="355" t="s">
        <v>102</v>
      </c>
      <c r="B26" s="245"/>
      <c r="C26" s="245"/>
      <c r="D26" s="245"/>
      <c r="E26" s="245"/>
      <c r="F26" s="245"/>
      <c r="G26" s="245"/>
      <c r="H26" s="245"/>
      <c r="I26" s="559"/>
      <c r="J26" s="176"/>
      <c r="K26"/>
      <c r="L26"/>
      <c r="M26" s="236"/>
      <c r="N26" s="236"/>
      <c r="O26" s="236"/>
      <c r="P26" s="236"/>
      <c r="Q26" s="236"/>
      <c r="R26" s="236"/>
      <c r="S26" s="236"/>
    </row>
    <row r="27" spans="1:19" x14ac:dyDescent="0.25">
      <c r="A27" s="355" t="s">
        <v>104</v>
      </c>
      <c r="B27" s="245"/>
      <c r="C27" s="245"/>
      <c r="D27" s="245"/>
      <c r="E27" s="245"/>
      <c r="F27" s="245"/>
      <c r="G27" s="245"/>
      <c r="H27" s="245"/>
      <c r="I27" s="559"/>
      <c r="J27" s="176"/>
      <c r="K27"/>
      <c r="L27"/>
      <c r="M27" s="236"/>
      <c r="N27" s="236"/>
      <c r="O27" s="236"/>
      <c r="P27" s="236"/>
      <c r="Q27" s="236"/>
      <c r="R27" s="236"/>
      <c r="S27" s="236"/>
    </row>
    <row r="28" spans="1:19" x14ac:dyDescent="0.25">
      <c r="A28" s="355" t="s">
        <v>105</v>
      </c>
      <c r="B28" s="245"/>
      <c r="C28" s="245"/>
      <c r="D28" s="245"/>
      <c r="E28" s="245"/>
      <c r="F28" s="245"/>
      <c r="G28" s="245"/>
      <c r="H28" s="245"/>
      <c r="I28" s="559"/>
      <c r="J28" s="176"/>
      <c r="K28"/>
      <c r="L28"/>
      <c r="M28" s="236"/>
      <c r="N28" s="236"/>
      <c r="O28" s="236"/>
      <c r="P28" s="236"/>
      <c r="Q28" s="236"/>
      <c r="R28" s="236"/>
      <c r="S28" s="236"/>
    </row>
    <row r="29" spans="1:19" x14ac:dyDescent="0.25">
      <c r="A29" s="355" t="s">
        <v>106</v>
      </c>
      <c r="B29" s="245"/>
      <c r="C29" s="245"/>
      <c r="D29" s="245"/>
      <c r="E29" s="245"/>
      <c r="F29" s="245"/>
      <c r="G29" s="245"/>
      <c r="H29" s="245"/>
      <c r="I29" s="559"/>
      <c r="J29" s="176"/>
      <c r="K29"/>
      <c r="L29"/>
      <c r="M29" s="236"/>
      <c r="N29" s="236"/>
      <c r="O29" s="236"/>
      <c r="P29" s="236"/>
      <c r="Q29" s="236"/>
      <c r="R29" s="236"/>
      <c r="S29" s="236"/>
    </row>
    <row r="30" spans="1:19" x14ac:dyDescent="0.25">
      <c r="A30" s="355" t="s">
        <v>107</v>
      </c>
      <c r="B30" s="245"/>
      <c r="C30" s="245"/>
      <c r="D30" s="245"/>
      <c r="E30" s="245"/>
      <c r="F30" s="245"/>
      <c r="G30" s="245"/>
      <c r="H30" s="245"/>
      <c r="I30" s="559"/>
      <c r="J30" s="176"/>
      <c r="K30"/>
      <c r="L30"/>
      <c r="M30" s="236"/>
      <c r="N30" s="236"/>
      <c r="O30" s="236"/>
      <c r="P30" s="236"/>
      <c r="Q30" s="236"/>
      <c r="R30" s="236"/>
      <c r="S30" s="236"/>
    </row>
    <row r="31" spans="1:19" x14ac:dyDescent="0.25">
      <c r="A31" s="355" t="s">
        <v>996</v>
      </c>
      <c r="B31" s="245"/>
      <c r="C31" s="245"/>
      <c r="D31" s="245"/>
      <c r="E31" s="245"/>
      <c r="F31" s="245"/>
      <c r="G31" s="245"/>
      <c r="H31" s="245"/>
      <c r="I31" s="559"/>
      <c r="J31" s="247"/>
      <c r="K31"/>
      <c r="L31"/>
      <c r="M31" s="236"/>
      <c r="N31" s="236"/>
      <c r="O31" s="236"/>
      <c r="P31" s="236"/>
      <c r="Q31" s="236"/>
      <c r="R31" s="236"/>
      <c r="S31" s="236"/>
    </row>
    <row r="32" spans="1:19" x14ac:dyDescent="0.25">
      <c r="A32" s="391"/>
      <c r="B32" s="379"/>
      <c r="C32" s="379"/>
      <c r="D32" s="379"/>
      <c r="E32" s="379"/>
      <c r="F32" s="379"/>
      <c r="G32" s="380"/>
      <c r="H32" s="380"/>
      <c r="I32" s="560"/>
      <c r="J32" s="381"/>
      <c r="K32" s="256"/>
      <c r="L32" s="236"/>
      <c r="M32" s="236"/>
      <c r="N32" s="236"/>
      <c r="O32" s="236"/>
      <c r="P32" s="236"/>
      <c r="Q32" s="236"/>
      <c r="R32" s="236"/>
      <c r="S32" s="236"/>
    </row>
    <row r="33" spans="1:19" x14ac:dyDescent="0.25">
      <c r="A33" s="355"/>
      <c r="B33" s="245"/>
      <c r="C33" s="245"/>
      <c r="D33" s="245"/>
      <c r="E33" s="245"/>
      <c r="F33" s="245"/>
      <c r="G33" s="243"/>
      <c r="H33" s="243"/>
      <c r="I33" s="559"/>
      <c r="J33" s="247"/>
      <c r="K33" s="256"/>
      <c r="L33" s="236"/>
      <c r="M33" s="236"/>
      <c r="N33" s="236"/>
      <c r="O33" s="236"/>
      <c r="P33" s="236"/>
      <c r="Q33" s="236"/>
      <c r="R33" s="236"/>
      <c r="S33" s="236"/>
    </row>
    <row r="34" spans="1:19" x14ac:dyDescent="0.25">
      <c r="A34" s="241" t="s">
        <v>116</v>
      </c>
      <c r="B34" s="245"/>
      <c r="C34" s="245"/>
      <c r="D34" s="245"/>
      <c r="E34" s="245"/>
      <c r="F34" s="245"/>
      <c r="G34" s="243"/>
      <c r="H34" s="243"/>
      <c r="I34" s="559"/>
      <c r="J34" s="247"/>
      <c r="K34" s="256"/>
      <c r="N34" s="236"/>
      <c r="O34" s="236"/>
      <c r="P34" s="236"/>
      <c r="Q34" s="236"/>
      <c r="R34" s="236"/>
      <c r="S34" s="236"/>
    </row>
    <row r="35" spans="1:19" x14ac:dyDescent="0.25">
      <c r="A35" s="241" t="s">
        <v>117</v>
      </c>
      <c r="B35" s="242" t="s">
        <v>934</v>
      </c>
      <c r="C35" s="242"/>
      <c r="D35" s="242"/>
      <c r="E35" s="242"/>
      <c r="F35" s="242"/>
      <c r="G35" s="242"/>
      <c r="H35" s="242"/>
      <c r="I35" s="557"/>
      <c r="J35" s="248"/>
      <c r="K35" s="256"/>
      <c r="N35" s="236"/>
      <c r="O35" s="236"/>
      <c r="P35" s="236"/>
      <c r="Q35" s="236"/>
      <c r="R35" s="236"/>
      <c r="S35" s="236"/>
    </row>
    <row r="36" spans="1:19" x14ac:dyDescent="0.25">
      <c r="A36" s="355" t="s">
        <v>627</v>
      </c>
      <c r="B36" s="245"/>
      <c r="C36" s="245"/>
      <c r="D36" s="245"/>
      <c r="E36" s="245"/>
      <c r="F36" s="245"/>
      <c r="G36" s="245"/>
      <c r="H36" s="245"/>
      <c r="I36" s="559"/>
      <c r="J36" s="247"/>
      <c r="N36" s="236"/>
      <c r="O36" s="236"/>
      <c r="P36" s="236"/>
      <c r="Q36" s="236"/>
      <c r="R36" s="236"/>
      <c r="S36" s="236"/>
    </row>
    <row r="37" spans="1:19" x14ac:dyDescent="0.25">
      <c r="A37" s="355" t="s">
        <v>628</v>
      </c>
      <c r="B37" s="245"/>
      <c r="C37" s="245"/>
      <c r="D37" s="245"/>
      <c r="E37" s="245"/>
      <c r="F37" s="245"/>
      <c r="G37" s="245"/>
      <c r="H37" s="245"/>
      <c r="I37" s="559"/>
      <c r="J37" s="247"/>
      <c r="N37" s="236"/>
      <c r="O37" s="236"/>
      <c r="P37" s="236"/>
      <c r="Q37" s="236"/>
      <c r="R37" s="236"/>
      <c r="S37" s="236"/>
    </row>
    <row r="38" spans="1:19" x14ac:dyDescent="0.25">
      <c r="A38" s="355" t="s">
        <v>629</v>
      </c>
      <c r="B38" s="245"/>
      <c r="C38" s="245"/>
      <c r="D38" s="245"/>
      <c r="E38" s="245"/>
      <c r="F38" s="245"/>
      <c r="G38" s="245"/>
      <c r="H38" s="245"/>
      <c r="I38" s="559"/>
      <c r="J38" s="247"/>
      <c r="K38" s="236"/>
      <c r="N38" s="236"/>
      <c r="O38" s="236"/>
      <c r="P38" s="236"/>
      <c r="Q38" s="236"/>
      <c r="R38" s="236"/>
      <c r="S38" s="236"/>
    </row>
    <row r="39" spans="1:19" x14ac:dyDescent="0.25">
      <c r="A39" s="355"/>
      <c r="B39" s="245"/>
      <c r="C39" s="245"/>
      <c r="D39" s="245"/>
      <c r="E39" s="245"/>
      <c r="F39" s="245"/>
      <c r="G39" s="243"/>
      <c r="H39" s="243"/>
      <c r="I39" s="559"/>
      <c r="J39" s="247"/>
      <c r="K39" s="256"/>
      <c r="N39" s="236"/>
      <c r="O39" s="236"/>
      <c r="P39" s="236"/>
      <c r="Q39" s="236"/>
      <c r="R39" s="236"/>
      <c r="S39" s="236"/>
    </row>
    <row r="40" spans="1:19" x14ac:dyDescent="0.25">
      <c r="A40" s="241" t="s">
        <v>122</v>
      </c>
      <c r="B40" s="242" t="s">
        <v>935</v>
      </c>
      <c r="C40" s="242"/>
      <c r="D40" s="242"/>
      <c r="E40" s="242"/>
      <c r="F40" s="242"/>
      <c r="G40" s="242"/>
      <c r="H40" s="242"/>
      <c r="I40" s="557"/>
      <c r="J40" s="248"/>
      <c r="K40" s="256"/>
      <c r="N40" s="236"/>
      <c r="O40" s="236"/>
      <c r="P40" s="236"/>
      <c r="Q40" s="236"/>
      <c r="R40" s="236"/>
      <c r="S40" s="236"/>
    </row>
    <row r="41" spans="1:19" x14ac:dyDescent="0.25">
      <c r="A41" s="355" t="s">
        <v>123</v>
      </c>
      <c r="B41" s="245"/>
      <c r="C41" s="245"/>
      <c r="D41" s="245"/>
      <c r="E41" s="245"/>
      <c r="F41" s="245"/>
      <c r="G41" s="245"/>
      <c r="H41" s="245"/>
      <c r="I41" s="559"/>
      <c r="J41" s="247"/>
      <c r="K41"/>
      <c r="N41" s="236"/>
      <c r="O41" s="236"/>
      <c r="P41" s="236"/>
      <c r="Q41" s="236"/>
      <c r="R41" s="236"/>
      <c r="S41" s="236"/>
    </row>
    <row r="42" spans="1:19" x14ac:dyDescent="0.25">
      <c r="A42" s="355" t="s">
        <v>124</v>
      </c>
      <c r="B42" s="245"/>
      <c r="C42" s="245"/>
      <c r="D42" s="245"/>
      <c r="E42" s="245"/>
      <c r="F42" s="245"/>
      <c r="G42" s="245"/>
      <c r="H42" s="245"/>
      <c r="I42" s="559"/>
      <c r="J42" s="247"/>
      <c r="N42" s="236"/>
      <c r="O42" s="236"/>
      <c r="P42" s="236"/>
      <c r="Q42" s="236"/>
      <c r="R42" s="236"/>
      <c r="S42" s="236"/>
    </row>
    <row r="43" spans="1:19" x14ac:dyDescent="0.25">
      <c r="A43" s="355" t="s">
        <v>125</v>
      </c>
      <c r="B43" s="245"/>
      <c r="C43" s="245"/>
      <c r="D43" s="245"/>
      <c r="E43" s="245"/>
      <c r="F43" s="245"/>
      <c r="G43" s="245"/>
      <c r="H43" s="245"/>
      <c r="I43" s="559"/>
      <c r="J43" s="247"/>
      <c r="N43" s="236"/>
      <c r="O43" s="236"/>
      <c r="P43" s="236"/>
      <c r="Q43" s="236"/>
      <c r="R43" s="236"/>
      <c r="S43" s="236"/>
    </row>
    <row r="44" spans="1:19" x14ac:dyDescent="0.25">
      <c r="A44" s="355" t="s">
        <v>630</v>
      </c>
      <c r="B44" s="245"/>
      <c r="C44" s="245"/>
      <c r="D44" s="245"/>
      <c r="E44" s="245"/>
      <c r="F44" s="245"/>
      <c r="G44" s="245"/>
      <c r="H44" s="245"/>
      <c r="I44" s="559"/>
      <c r="J44" s="247"/>
      <c r="N44" s="236"/>
      <c r="O44" s="236"/>
      <c r="P44" s="236"/>
      <c r="Q44" s="236"/>
      <c r="R44" s="236"/>
      <c r="S44" s="236"/>
    </row>
    <row r="45" spans="1:19" x14ac:dyDescent="0.25">
      <c r="A45" s="355"/>
      <c r="B45" s="245"/>
      <c r="C45" s="245"/>
      <c r="D45" s="245"/>
      <c r="E45" s="245"/>
      <c r="F45" s="245"/>
      <c r="G45" s="243"/>
      <c r="H45" s="243"/>
      <c r="I45" s="559"/>
      <c r="J45" s="247"/>
      <c r="K45" s="256"/>
      <c r="N45" s="236"/>
      <c r="O45" s="236"/>
      <c r="P45" s="236"/>
      <c r="Q45" s="236"/>
      <c r="R45" s="236"/>
      <c r="S45" s="236"/>
    </row>
    <row r="46" spans="1:19" x14ac:dyDescent="0.25">
      <c r="A46" s="241" t="s">
        <v>631</v>
      </c>
      <c r="B46" s="242" t="s">
        <v>936</v>
      </c>
      <c r="C46" s="242"/>
      <c r="D46" s="242"/>
      <c r="E46" s="242"/>
      <c r="F46" s="242"/>
      <c r="G46" s="242"/>
      <c r="H46" s="242"/>
      <c r="I46" s="557"/>
      <c r="J46" s="248"/>
      <c r="K46" s="236"/>
      <c r="N46" s="236"/>
      <c r="O46" s="236"/>
      <c r="P46" s="236"/>
      <c r="Q46" s="236"/>
      <c r="R46" s="236"/>
      <c r="S46" s="236"/>
    </row>
    <row r="47" spans="1:19" x14ac:dyDescent="0.25">
      <c r="A47" s="355" t="s">
        <v>128</v>
      </c>
      <c r="B47" s="245"/>
      <c r="C47" s="245"/>
      <c r="D47" s="245"/>
      <c r="E47" s="245"/>
      <c r="F47" s="245"/>
      <c r="G47" s="245"/>
      <c r="H47" s="245"/>
      <c r="I47" s="559"/>
      <c r="J47" s="247"/>
      <c r="N47" s="236"/>
      <c r="O47" s="236"/>
      <c r="P47" s="236"/>
      <c r="Q47" s="236"/>
      <c r="R47" s="236"/>
      <c r="S47" s="236"/>
    </row>
    <row r="48" spans="1:19" x14ac:dyDescent="0.25">
      <c r="A48" s="355" t="s">
        <v>129</v>
      </c>
      <c r="B48" s="245"/>
      <c r="C48" s="245"/>
      <c r="D48" s="245"/>
      <c r="E48" s="245"/>
      <c r="F48" s="245"/>
      <c r="G48" s="245"/>
      <c r="H48" s="245"/>
      <c r="I48" s="559"/>
      <c r="J48" s="247"/>
      <c r="N48" s="236"/>
      <c r="O48" s="236"/>
      <c r="P48" s="236"/>
      <c r="Q48" s="236"/>
      <c r="R48" s="236"/>
      <c r="S48" s="236"/>
    </row>
    <row r="49" spans="1:19" x14ac:dyDescent="0.25">
      <c r="A49" s="355" t="s">
        <v>130</v>
      </c>
      <c r="B49" s="245"/>
      <c r="C49" s="245"/>
      <c r="D49" s="245"/>
      <c r="E49" s="245"/>
      <c r="F49" s="245"/>
      <c r="G49" s="245"/>
      <c r="H49" s="245"/>
      <c r="I49" s="559"/>
      <c r="J49" s="247"/>
      <c r="N49" s="236"/>
      <c r="O49" s="236"/>
      <c r="P49" s="236"/>
      <c r="Q49" s="236"/>
      <c r="R49" s="236"/>
      <c r="S49" s="236"/>
    </row>
    <row r="50" spans="1:19" x14ac:dyDescent="0.25">
      <c r="A50" s="355" t="s">
        <v>632</v>
      </c>
      <c r="B50" s="245"/>
      <c r="C50" s="245"/>
      <c r="D50" s="245"/>
      <c r="E50" s="245"/>
      <c r="F50" s="245"/>
      <c r="G50" s="245"/>
      <c r="H50" s="245"/>
      <c r="I50" s="559"/>
      <c r="J50" s="247"/>
      <c r="N50" s="236"/>
      <c r="O50" s="236"/>
      <c r="P50" s="236"/>
      <c r="Q50" s="236"/>
      <c r="R50" s="236"/>
      <c r="S50" s="236"/>
    </row>
    <row r="51" spans="1:19" x14ac:dyDescent="0.25">
      <c r="A51" s="355"/>
      <c r="B51" s="245"/>
      <c r="C51" s="245"/>
      <c r="D51" s="245"/>
      <c r="E51" s="245"/>
      <c r="F51" s="245"/>
      <c r="G51" s="243"/>
      <c r="H51" s="243"/>
      <c r="I51" s="559"/>
      <c r="J51" s="247"/>
      <c r="K51" s="256"/>
      <c r="N51" s="236"/>
      <c r="O51" s="236"/>
      <c r="P51" s="236"/>
      <c r="Q51" s="236"/>
      <c r="R51" s="236"/>
      <c r="S51" s="236"/>
    </row>
    <row r="52" spans="1:19" x14ac:dyDescent="0.25">
      <c r="A52" s="241" t="s">
        <v>148</v>
      </c>
      <c r="B52" s="242" t="s">
        <v>937</v>
      </c>
      <c r="C52" s="242"/>
      <c r="D52" s="242"/>
      <c r="E52" s="242"/>
      <c r="F52" s="242"/>
      <c r="G52" s="242"/>
      <c r="H52" s="242"/>
      <c r="I52" s="557"/>
      <c r="J52" s="248"/>
      <c r="N52" s="236"/>
      <c r="O52" s="236"/>
      <c r="P52" s="236"/>
      <c r="Q52" s="236"/>
      <c r="R52" s="236"/>
      <c r="S52" s="236"/>
    </row>
    <row r="53" spans="1:19" x14ac:dyDescent="0.25">
      <c r="A53" s="355" t="s">
        <v>133</v>
      </c>
      <c r="B53" s="236"/>
      <c r="C53" s="245"/>
      <c r="D53" s="245"/>
      <c r="E53" s="245"/>
      <c r="F53" s="245"/>
      <c r="G53" s="245"/>
      <c r="H53" s="245"/>
      <c r="I53" s="559"/>
      <c r="J53" s="247"/>
      <c r="N53" s="236"/>
      <c r="O53" s="236"/>
      <c r="P53" s="236"/>
      <c r="Q53" s="236"/>
      <c r="R53" s="236"/>
      <c r="S53" s="236"/>
    </row>
    <row r="54" spans="1:19" x14ac:dyDescent="0.25">
      <c r="A54" s="355" t="s">
        <v>134</v>
      </c>
      <c r="B54" s="245"/>
      <c r="C54" s="245"/>
      <c r="D54" s="245"/>
      <c r="E54" s="245"/>
      <c r="F54" s="245"/>
      <c r="G54" s="245"/>
      <c r="H54" s="245"/>
      <c r="I54" s="559"/>
      <c r="J54" s="247"/>
      <c r="K54" s="355"/>
      <c r="M54" s="236"/>
      <c r="N54" s="236"/>
      <c r="O54" s="236"/>
      <c r="P54" s="236"/>
      <c r="Q54" s="236"/>
      <c r="R54" s="236"/>
      <c r="S54" s="236"/>
    </row>
    <row r="55" spans="1:19" x14ac:dyDescent="0.25">
      <c r="A55" s="355" t="s">
        <v>633</v>
      </c>
      <c r="B55" s="245"/>
      <c r="C55" s="245"/>
      <c r="D55" s="245"/>
      <c r="E55" s="245"/>
      <c r="F55" s="245"/>
      <c r="G55" s="245"/>
      <c r="H55" s="245"/>
      <c r="I55" s="559"/>
      <c r="J55" s="247"/>
      <c r="N55" s="236"/>
      <c r="O55" s="236"/>
      <c r="P55" s="236"/>
      <c r="Q55" s="236"/>
      <c r="R55" s="236"/>
      <c r="S55" s="236"/>
    </row>
    <row r="56" spans="1:19" x14ac:dyDescent="0.25">
      <c r="A56" s="355"/>
      <c r="B56" s="245"/>
      <c r="C56" s="245"/>
      <c r="D56" s="245"/>
      <c r="E56" s="245"/>
      <c r="F56" s="245"/>
      <c r="G56" s="243"/>
      <c r="H56" s="243"/>
      <c r="I56" s="559"/>
      <c r="J56" s="247"/>
      <c r="K56" s="256"/>
      <c r="N56" s="236"/>
      <c r="O56" s="236"/>
      <c r="P56" s="236"/>
      <c r="Q56" s="236"/>
      <c r="R56" s="236"/>
      <c r="S56" s="236"/>
    </row>
    <row r="57" spans="1:19" x14ac:dyDescent="0.25">
      <c r="A57" s="241" t="s">
        <v>149</v>
      </c>
      <c r="B57" s="242" t="s">
        <v>938</v>
      </c>
      <c r="C57" s="242"/>
      <c r="D57" s="242"/>
      <c r="E57" s="242"/>
      <c r="F57" s="242"/>
      <c r="G57" s="242"/>
      <c r="H57" s="242"/>
      <c r="I57" s="557"/>
      <c r="J57" s="248"/>
      <c r="K57" s="236"/>
      <c r="M57"/>
      <c r="N57" s="236"/>
      <c r="O57" s="236"/>
      <c r="P57" s="236"/>
      <c r="Q57" s="236"/>
      <c r="R57" s="236"/>
      <c r="S57" s="236"/>
    </row>
    <row r="58" spans="1:19" x14ac:dyDescent="0.25">
      <c r="A58" s="355" t="s">
        <v>137</v>
      </c>
      <c r="B58" s="245"/>
      <c r="C58" s="245"/>
      <c r="D58" s="245"/>
      <c r="E58" s="245"/>
      <c r="F58" s="245"/>
      <c r="G58" s="245"/>
      <c r="H58" s="245"/>
      <c r="I58" s="559"/>
      <c r="J58" s="247"/>
      <c r="L58"/>
      <c r="M58" s="236"/>
      <c r="N58" s="236"/>
      <c r="O58" s="236"/>
      <c r="P58" s="236"/>
      <c r="Q58" s="236"/>
      <c r="R58" s="236"/>
      <c r="S58" s="236"/>
    </row>
    <row r="59" spans="1:19" x14ac:dyDescent="0.25">
      <c r="A59" s="355" t="s">
        <v>634</v>
      </c>
      <c r="B59" s="245"/>
      <c r="C59" s="245"/>
      <c r="D59" s="245"/>
      <c r="E59" s="245"/>
      <c r="F59" s="245"/>
      <c r="G59" s="245"/>
      <c r="H59" s="245"/>
      <c r="I59" s="559"/>
      <c r="J59" s="247"/>
      <c r="L59"/>
      <c r="M59" s="236"/>
      <c r="N59" s="236"/>
      <c r="O59" s="236"/>
      <c r="P59" s="236"/>
      <c r="Q59" s="236"/>
      <c r="R59" s="236"/>
      <c r="S59" s="236"/>
    </row>
    <row r="60" spans="1:19" x14ac:dyDescent="0.25">
      <c r="A60" s="355"/>
      <c r="B60" s="245"/>
      <c r="C60" s="245"/>
      <c r="D60" s="245"/>
      <c r="E60" s="245"/>
      <c r="F60" s="245"/>
      <c r="G60" s="243"/>
      <c r="H60" s="243"/>
      <c r="I60" s="559"/>
      <c r="J60" s="247"/>
      <c r="K60" s="256"/>
      <c r="L60"/>
      <c r="M60" s="236"/>
      <c r="N60" s="236"/>
      <c r="O60" s="236"/>
      <c r="P60" s="236"/>
      <c r="Q60" s="236"/>
      <c r="R60" s="236"/>
      <c r="S60" s="236"/>
    </row>
    <row r="61" spans="1:19" x14ac:dyDescent="0.25">
      <c r="A61" s="355" t="s">
        <v>635</v>
      </c>
      <c r="B61" s="245" t="s">
        <v>939</v>
      </c>
      <c r="C61" s="245"/>
      <c r="D61" s="245"/>
      <c r="E61" s="245"/>
      <c r="F61" s="245"/>
      <c r="G61" s="245"/>
      <c r="H61" s="245"/>
      <c r="I61" s="559"/>
      <c r="J61" s="247"/>
      <c r="L61"/>
      <c r="M61" s="236"/>
      <c r="N61" s="236"/>
      <c r="O61" s="236"/>
      <c r="P61" s="236"/>
      <c r="Q61" s="236"/>
      <c r="R61" s="236"/>
      <c r="S61" s="236"/>
    </row>
    <row r="62" spans="1:19" x14ac:dyDescent="0.25">
      <c r="A62" s="355" t="s">
        <v>626</v>
      </c>
      <c r="B62" s="245"/>
      <c r="C62" s="245"/>
      <c r="D62" s="245"/>
      <c r="E62" s="245"/>
      <c r="F62" s="245"/>
      <c r="G62" s="245"/>
      <c r="H62" s="245"/>
      <c r="I62" s="559"/>
      <c r="J62" s="247"/>
      <c r="L62"/>
      <c r="M62" s="236"/>
      <c r="N62" s="236"/>
      <c r="O62" s="236"/>
      <c r="P62" s="236"/>
      <c r="Q62" s="236"/>
      <c r="R62" s="236"/>
      <c r="S62" s="236"/>
    </row>
    <row r="63" spans="1:19" x14ac:dyDescent="0.25">
      <c r="A63" s="241" t="s">
        <v>997</v>
      </c>
      <c r="B63" s="242"/>
      <c r="C63" s="242"/>
      <c r="D63" s="242"/>
      <c r="E63" s="242"/>
      <c r="F63" s="242"/>
      <c r="G63" s="242"/>
      <c r="H63" s="242"/>
      <c r="I63" s="557"/>
      <c r="J63" s="248"/>
      <c r="K63" s="256"/>
      <c r="L63"/>
      <c r="M63" s="236"/>
      <c r="N63" s="236"/>
      <c r="O63" s="236"/>
      <c r="P63" s="236"/>
      <c r="Q63" s="236"/>
      <c r="R63" s="236"/>
      <c r="S63" s="236"/>
    </row>
    <row r="64" spans="1:19" ht="14.4" thickBot="1" x14ac:dyDescent="0.3">
      <c r="A64" s="238"/>
      <c r="B64" s="239"/>
      <c r="C64" s="239"/>
      <c r="D64" s="239"/>
      <c r="E64" s="239"/>
      <c r="F64" s="239"/>
      <c r="G64" s="239"/>
      <c r="H64" s="239"/>
      <c r="I64" s="239"/>
      <c r="J64" s="239"/>
      <c r="K64" s="236"/>
      <c r="L64"/>
      <c r="M64" s="236"/>
      <c r="N64" s="236"/>
      <c r="O64" s="236"/>
      <c r="P64" s="236"/>
      <c r="Q64" s="236"/>
      <c r="R64" s="236"/>
      <c r="S64" s="236"/>
    </row>
    <row r="65" spans="1:19" x14ac:dyDescent="0.25">
      <c r="A65" s="249"/>
      <c r="B65" s="240"/>
      <c r="C65" s="240"/>
      <c r="D65" s="240"/>
      <c r="E65" s="240"/>
      <c r="F65" s="240"/>
      <c r="G65" s="240"/>
      <c r="H65" s="250"/>
      <c r="I65" s="250"/>
      <c r="J65" s="250"/>
      <c r="K65" s="250"/>
      <c r="L65"/>
      <c r="M65" s="250"/>
      <c r="N65" s="250"/>
      <c r="O65" s="250"/>
      <c r="P65" s="250"/>
      <c r="Q65" s="250"/>
      <c r="R65" s="250"/>
      <c r="S65" s="250"/>
    </row>
    <row r="66" spans="1:19" x14ac:dyDescent="0.25">
      <c r="A66" s="673" t="s">
        <v>636</v>
      </c>
      <c r="B66" s="673"/>
      <c r="C66" s="251"/>
      <c r="D66" s="252"/>
      <c r="E66" s="252"/>
      <c r="F66" s="252"/>
      <c r="G66" s="252"/>
      <c r="H66" s="230"/>
      <c r="I66" s="230"/>
      <c r="J66" s="230"/>
      <c r="K66" s="230"/>
      <c r="L66"/>
      <c r="M66" s="230"/>
      <c r="N66" s="230"/>
      <c r="O66" s="230"/>
      <c r="P66" s="230"/>
      <c r="Q66" s="230"/>
      <c r="R66" s="230"/>
      <c r="S66" s="230"/>
    </row>
    <row r="67" spans="1:19" x14ac:dyDescent="0.25">
      <c r="A67" s="253"/>
      <c r="B67" s="251"/>
      <c r="C67" s="251"/>
      <c r="D67" s="252"/>
      <c r="E67" s="252"/>
      <c r="F67" s="252"/>
      <c r="G67" s="252"/>
      <c r="H67" s="230"/>
      <c r="I67" s="230"/>
      <c r="J67" s="230"/>
      <c r="K67" s="230"/>
      <c r="L67"/>
      <c r="M67" s="230"/>
      <c r="N67" s="230"/>
      <c r="O67" s="230"/>
      <c r="P67" s="230"/>
      <c r="Q67" s="230"/>
      <c r="R67" s="230"/>
      <c r="S67" s="230"/>
    </row>
    <row r="68" spans="1:19" ht="40.200000000000003" customHeight="1" x14ac:dyDescent="0.25">
      <c r="A68" s="709" t="s">
        <v>637</v>
      </c>
      <c r="B68" s="709"/>
      <c r="C68" s="709"/>
      <c r="D68" s="709"/>
      <c r="E68" s="709"/>
      <c r="F68" s="709"/>
      <c r="G68" s="709"/>
      <c r="H68" s="709"/>
      <c r="I68" s="709"/>
      <c r="J68" s="709"/>
      <c r="K68" s="230"/>
      <c r="L68"/>
      <c r="M68" s="230"/>
      <c r="N68" s="230"/>
      <c r="O68" s="230"/>
      <c r="P68" s="230"/>
      <c r="Q68" s="230"/>
      <c r="R68" s="230"/>
      <c r="S68" s="230"/>
    </row>
    <row r="69" spans="1:19" x14ac:dyDescent="0.25">
      <c r="A69" s="375" t="s">
        <v>141</v>
      </c>
      <c r="B69" s="355"/>
      <c r="C69" s="355"/>
      <c r="D69" s="355"/>
      <c r="E69" s="355"/>
      <c r="F69" s="355"/>
      <c r="G69" s="355"/>
      <c r="H69" s="355"/>
      <c r="I69" s="355"/>
      <c r="J69" s="355"/>
      <c r="K69" s="230"/>
      <c r="L69"/>
      <c r="M69" s="230"/>
      <c r="N69" s="230"/>
      <c r="O69" s="230"/>
      <c r="P69" s="230"/>
      <c r="Q69" s="230"/>
      <c r="R69" s="230"/>
      <c r="S69" s="230"/>
    </row>
    <row r="70" spans="1:19" ht="7.5" customHeight="1" x14ac:dyDescent="0.25">
      <c r="A70" s="375"/>
      <c r="B70" s="355"/>
      <c r="C70" s="355"/>
      <c r="D70" s="355"/>
      <c r="E70" s="355"/>
      <c r="F70" s="355"/>
      <c r="G70" s="355"/>
      <c r="H70" s="355"/>
      <c r="I70" s="355"/>
      <c r="J70" s="355"/>
      <c r="K70" s="230"/>
      <c r="L70"/>
      <c r="M70" s="230"/>
      <c r="N70" s="230"/>
      <c r="O70" s="230"/>
      <c r="P70" s="230"/>
      <c r="Q70" s="230"/>
      <c r="R70" s="230"/>
      <c r="S70" s="230"/>
    </row>
    <row r="71" spans="1:19" ht="14.25" customHeight="1" x14ac:dyDescent="0.25">
      <c r="A71" s="320" t="s">
        <v>93</v>
      </c>
      <c r="B71" s="320"/>
      <c r="C71" s="320"/>
      <c r="D71" s="250"/>
      <c r="E71" s="250"/>
      <c r="F71" s="250"/>
      <c r="G71" s="250"/>
      <c r="H71" s="250"/>
      <c r="I71" s="250"/>
      <c r="J71" s="250"/>
      <c r="K71" s="250"/>
      <c r="L71"/>
      <c r="M71" s="250"/>
      <c r="N71" s="250"/>
      <c r="O71" s="250"/>
      <c r="P71" s="250"/>
      <c r="Q71" s="250"/>
      <c r="R71" s="250"/>
      <c r="S71" s="250"/>
    </row>
    <row r="72" spans="1:19" x14ac:dyDescent="0.25">
      <c r="A72" s="254" t="s">
        <v>94</v>
      </c>
      <c r="B72" s="230"/>
      <c r="C72" s="230"/>
      <c r="D72" s="230"/>
      <c r="E72" s="230"/>
      <c r="F72" s="230"/>
      <c r="G72" s="230"/>
      <c r="H72" s="230"/>
      <c r="I72" s="250"/>
      <c r="J72" s="250"/>
      <c r="K72" s="250"/>
      <c r="L72"/>
      <c r="M72" s="250"/>
      <c r="N72" s="250"/>
      <c r="O72" s="250"/>
      <c r="P72" s="250"/>
      <c r="Q72" s="250"/>
      <c r="R72" s="250"/>
      <c r="S72" s="250"/>
    </row>
    <row r="73" spans="1:19" x14ac:dyDescent="0.25">
      <c r="B73" s="228"/>
      <c r="C73" s="228"/>
      <c r="D73" s="228"/>
      <c r="E73" s="228"/>
      <c r="F73" s="228"/>
      <c r="G73" s="229"/>
      <c r="H73" s="230"/>
      <c r="I73" s="231"/>
      <c r="J73" s="231"/>
      <c r="K73" s="231"/>
      <c r="L73"/>
      <c r="M73" s="231"/>
      <c r="N73" s="231"/>
      <c r="O73" s="231"/>
      <c r="P73" s="231"/>
      <c r="Q73" s="231"/>
      <c r="R73" s="231"/>
      <c r="S73" s="231"/>
    </row>
    <row r="74" spans="1:19" x14ac:dyDescent="0.25">
      <c r="L74"/>
    </row>
    <row r="75" spans="1:19" x14ac:dyDescent="0.25">
      <c r="L75"/>
    </row>
    <row r="76" spans="1:19" x14ac:dyDescent="0.25">
      <c r="L76"/>
    </row>
    <row r="77" spans="1:19" x14ac:dyDescent="0.25">
      <c r="L77"/>
    </row>
    <row r="78" spans="1:19" x14ac:dyDescent="0.25">
      <c r="L78"/>
    </row>
    <row r="79" spans="1:19" x14ac:dyDescent="0.25">
      <c r="L79"/>
    </row>
    <row r="80" spans="1:19" x14ac:dyDescent="0.25">
      <c r="L80"/>
    </row>
    <row r="81" spans="12:12" x14ac:dyDescent="0.25">
      <c r="L81"/>
    </row>
    <row r="82" spans="12:12" x14ac:dyDescent="0.25">
      <c r="L82"/>
    </row>
    <row r="83" spans="12:12" x14ac:dyDescent="0.25">
      <c r="L83"/>
    </row>
    <row r="84" spans="12:12" x14ac:dyDescent="0.25">
      <c r="L84"/>
    </row>
    <row r="85" spans="12:12" x14ac:dyDescent="0.25">
      <c r="L85"/>
    </row>
    <row r="86" spans="12:12" x14ac:dyDescent="0.25">
      <c r="L86"/>
    </row>
    <row r="87" spans="12:12" x14ac:dyDescent="0.25">
      <c r="L87"/>
    </row>
    <row r="88" spans="12:12" x14ac:dyDescent="0.25">
      <c r="L88"/>
    </row>
    <row r="89" spans="12:12" x14ac:dyDescent="0.25">
      <c r="L89"/>
    </row>
    <row r="90" spans="12:12" x14ac:dyDescent="0.25">
      <c r="L90"/>
    </row>
    <row r="91" spans="12:12" x14ac:dyDescent="0.25">
      <c r="L91"/>
    </row>
    <row r="92" spans="12:12" x14ac:dyDescent="0.25">
      <c r="L92"/>
    </row>
    <row r="93" spans="12:12" x14ac:dyDescent="0.25">
      <c r="L93"/>
    </row>
    <row r="94" spans="12:12" x14ac:dyDescent="0.25">
      <c r="L94"/>
    </row>
    <row r="95" spans="12:12" x14ac:dyDescent="0.25">
      <c r="L95"/>
    </row>
    <row r="96" spans="12:12" x14ac:dyDescent="0.25">
      <c r="L96"/>
    </row>
    <row r="97" spans="12:12" x14ac:dyDescent="0.25">
      <c r="L97"/>
    </row>
    <row r="98" spans="12:12" x14ac:dyDescent="0.25">
      <c r="L98"/>
    </row>
    <row r="99" spans="12:12" x14ac:dyDescent="0.25">
      <c r="L99"/>
    </row>
    <row r="100" spans="12:12" x14ac:dyDescent="0.25">
      <c r="L100"/>
    </row>
    <row r="101" spans="12:12" x14ac:dyDescent="0.25">
      <c r="L101"/>
    </row>
    <row r="102" spans="12:12" x14ac:dyDescent="0.25">
      <c r="L102"/>
    </row>
    <row r="103" spans="12:12" x14ac:dyDescent="0.25">
      <c r="L103"/>
    </row>
    <row r="104" spans="12:12" x14ac:dyDescent="0.25">
      <c r="L104"/>
    </row>
    <row r="105" spans="12:12" x14ac:dyDescent="0.25">
      <c r="L105"/>
    </row>
    <row r="106" spans="12:12" x14ac:dyDescent="0.25">
      <c r="L106"/>
    </row>
    <row r="107" spans="12:12" x14ac:dyDescent="0.25">
      <c r="L107"/>
    </row>
    <row r="108" spans="12:12" x14ac:dyDescent="0.25">
      <c r="L108"/>
    </row>
    <row r="109" spans="12:12" x14ac:dyDescent="0.25">
      <c r="L109"/>
    </row>
    <row r="110" spans="12:12" x14ac:dyDescent="0.25">
      <c r="L110"/>
    </row>
    <row r="111" spans="12:12" x14ac:dyDescent="0.25">
      <c r="L111"/>
    </row>
    <row r="112" spans="12:12" x14ac:dyDescent="0.25">
      <c r="L112"/>
    </row>
    <row r="113" spans="12:12" x14ac:dyDescent="0.25">
      <c r="L113"/>
    </row>
    <row r="114" spans="12:12" x14ac:dyDescent="0.25">
      <c r="L114"/>
    </row>
    <row r="115" spans="12:12" x14ac:dyDescent="0.25">
      <c r="L115"/>
    </row>
    <row r="116" spans="12:12" x14ac:dyDescent="0.25">
      <c r="L116"/>
    </row>
    <row r="117" spans="12:12" x14ac:dyDescent="0.25">
      <c r="L117"/>
    </row>
    <row r="118" spans="12:12" x14ac:dyDescent="0.25">
      <c r="L118"/>
    </row>
    <row r="119" spans="12:12" x14ac:dyDescent="0.25">
      <c r="L119"/>
    </row>
    <row r="120" spans="12:12" x14ac:dyDescent="0.25">
      <c r="L120"/>
    </row>
    <row r="121" spans="12:12" x14ac:dyDescent="0.25">
      <c r="L121"/>
    </row>
    <row r="122" spans="12:12" x14ac:dyDescent="0.25">
      <c r="L122"/>
    </row>
    <row r="123" spans="12:12" x14ac:dyDescent="0.25">
      <c r="L123"/>
    </row>
    <row r="124" spans="12:12" x14ac:dyDescent="0.25">
      <c r="L124"/>
    </row>
    <row r="125" spans="12:12" x14ac:dyDescent="0.25">
      <c r="L125"/>
    </row>
    <row r="126" spans="12:12" x14ac:dyDescent="0.25">
      <c r="L126"/>
    </row>
    <row r="127" spans="12:12" x14ac:dyDescent="0.25">
      <c r="L127"/>
    </row>
    <row r="128" spans="12:12" x14ac:dyDescent="0.25">
      <c r="L128"/>
    </row>
    <row r="129" spans="12:12" x14ac:dyDescent="0.25">
      <c r="L129"/>
    </row>
    <row r="130" spans="12:12" x14ac:dyDescent="0.25">
      <c r="L130"/>
    </row>
    <row r="131" spans="12:12" x14ac:dyDescent="0.25">
      <c r="L131"/>
    </row>
    <row r="132" spans="12:12" x14ac:dyDescent="0.25">
      <c r="L132"/>
    </row>
    <row r="133" spans="12:12" x14ac:dyDescent="0.25">
      <c r="L133"/>
    </row>
    <row r="134" spans="12:12" x14ac:dyDescent="0.25">
      <c r="L134"/>
    </row>
    <row r="135" spans="12:12" x14ac:dyDescent="0.25">
      <c r="L135"/>
    </row>
    <row r="136" spans="12:12" x14ac:dyDescent="0.25">
      <c r="L136"/>
    </row>
    <row r="137" spans="12:12" x14ac:dyDescent="0.25">
      <c r="L137"/>
    </row>
    <row r="138" spans="12:12" x14ac:dyDescent="0.25">
      <c r="L138"/>
    </row>
    <row r="139" spans="12:12" x14ac:dyDescent="0.25">
      <c r="L139"/>
    </row>
    <row r="140" spans="12:12" x14ac:dyDescent="0.25">
      <c r="L140"/>
    </row>
    <row r="141" spans="12:12" x14ac:dyDescent="0.25">
      <c r="L141"/>
    </row>
    <row r="142" spans="12:12" x14ac:dyDescent="0.25">
      <c r="L142"/>
    </row>
    <row r="143" spans="12:12" x14ac:dyDescent="0.25">
      <c r="L143"/>
    </row>
    <row r="144" spans="12:12" x14ac:dyDescent="0.25">
      <c r="L144"/>
    </row>
    <row r="145" spans="12:12" x14ac:dyDescent="0.25">
      <c r="L145"/>
    </row>
    <row r="146" spans="12:12" x14ac:dyDescent="0.25">
      <c r="L146"/>
    </row>
    <row r="147" spans="12:12" x14ac:dyDescent="0.25">
      <c r="L147"/>
    </row>
    <row r="148" spans="12:12" x14ac:dyDescent="0.25">
      <c r="L148"/>
    </row>
    <row r="149" spans="12:12" x14ac:dyDescent="0.25">
      <c r="L149"/>
    </row>
    <row r="150" spans="12:12" x14ac:dyDescent="0.25">
      <c r="L150"/>
    </row>
    <row r="151" spans="12:12" x14ac:dyDescent="0.25">
      <c r="L151"/>
    </row>
  </sheetData>
  <mergeCells count="4">
    <mergeCell ref="A68:J68"/>
    <mergeCell ref="A66:B66"/>
    <mergeCell ref="A5:J5"/>
    <mergeCell ref="B8:H8"/>
  </mergeCells>
  <hyperlinks>
    <hyperlink ref="A69" r:id="rId1"/>
  </hyperlinks>
  <pageMargins left="0.31496062992125984" right="0.31496062992125984" top="0.74803149606299213" bottom="0.74803149606299213" header="0.31496062992125984" footer="0.31496062992125984"/>
  <pageSetup paperSize="9" scale="50" fitToHeight="0"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60"/>
  <sheetViews>
    <sheetView showGridLines="0" workbookViewId="0"/>
  </sheetViews>
  <sheetFormatPr defaultColWidth="9" defaultRowHeight="13.2" x14ac:dyDescent="0.25"/>
  <cols>
    <col min="1" max="1" width="56.69921875" style="363" customWidth="1"/>
    <col min="2" max="2" width="12.09765625" style="363" customWidth="1"/>
    <col min="3" max="3" width="12.796875" style="363" customWidth="1"/>
    <col min="4" max="4" width="14.59765625" style="363" customWidth="1"/>
    <col min="5" max="5" width="3.796875" style="363" customWidth="1"/>
    <col min="6" max="6" width="12.296875" style="363" customWidth="1"/>
    <col min="7" max="7" width="13.09765625" style="363" customWidth="1"/>
    <col min="8" max="10" width="9" style="363" bestFit="1"/>
    <col min="11" max="11" width="13.09765625" style="363" customWidth="1"/>
    <col min="12" max="12" width="10.296875" style="363" customWidth="1"/>
    <col min="13" max="13" width="10.59765625" style="363" bestFit="1" customWidth="1"/>
    <col min="14" max="15" width="9" style="363" bestFit="1"/>
    <col min="16" max="16" width="12.09765625" style="363" customWidth="1"/>
    <col min="17" max="18" width="9" style="363" bestFit="1"/>
    <col min="19" max="19" width="10.796875" style="363" customWidth="1"/>
    <col min="20" max="198" width="9" style="363" bestFit="1"/>
    <col min="199" max="199" width="1.19921875" style="363" customWidth="1"/>
    <col min="200" max="200" width="70.59765625" style="363" customWidth="1"/>
    <col min="201" max="205" width="10.59765625" style="363" customWidth="1"/>
    <col min="206" max="454" width="9" style="363" bestFit="1"/>
    <col min="455" max="455" width="1.19921875" style="363" customWidth="1"/>
    <col min="456" max="456" width="70.59765625" style="363" customWidth="1"/>
    <col min="457" max="461" width="10.59765625" style="363" customWidth="1"/>
    <col min="462" max="710" width="9" style="363" bestFit="1"/>
    <col min="711" max="711" width="1.19921875" style="363" customWidth="1"/>
    <col min="712" max="712" width="70.59765625" style="363" customWidth="1"/>
    <col min="713" max="717" width="10.59765625" style="363" customWidth="1"/>
    <col min="718" max="966" width="9" style="363" bestFit="1"/>
    <col min="967" max="967" width="1.19921875" style="363" customWidth="1"/>
    <col min="968" max="968" width="70.59765625" style="363" customWidth="1"/>
    <col min="969" max="973" width="10.59765625" style="363" customWidth="1"/>
    <col min="974" max="1222" width="9" style="363" bestFit="1"/>
    <col min="1223" max="1223" width="1.19921875" style="363" customWidth="1"/>
    <col min="1224" max="1224" width="70.59765625" style="363" customWidth="1"/>
    <col min="1225" max="1229" width="10.59765625" style="363" customWidth="1"/>
    <col min="1230" max="1478" width="9" style="363" bestFit="1"/>
    <col min="1479" max="1479" width="1.19921875" style="363" customWidth="1"/>
    <col min="1480" max="1480" width="70.59765625" style="363" customWidth="1"/>
    <col min="1481" max="1485" width="10.59765625" style="363" customWidth="1"/>
    <col min="1486" max="1734" width="9" style="363" bestFit="1"/>
    <col min="1735" max="1735" width="1.19921875" style="363" customWidth="1"/>
    <col min="1736" max="1736" width="70.59765625" style="363" customWidth="1"/>
    <col min="1737" max="1741" width="10.59765625" style="363" customWidth="1"/>
    <col min="1742" max="1990" width="9" style="363" bestFit="1"/>
    <col min="1991" max="1991" width="1.19921875" style="363" customWidth="1"/>
    <col min="1992" max="1992" width="70.59765625" style="363" customWidth="1"/>
    <col min="1993" max="1997" width="10.59765625" style="363" customWidth="1"/>
    <col min="1998" max="2246" width="9" style="363" bestFit="1"/>
    <col min="2247" max="2247" width="1.19921875" style="363" customWidth="1"/>
    <col min="2248" max="2248" width="70.59765625" style="363" customWidth="1"/>
    <col min="2249" max="2253" width="10.59765625" style="363" customWidth="1"/>
    <col min="2254" max="2502" width="9" style="363" bestFit="1"/>
    <col min="2503" max="2503" width="1.19921875" style="363" customWidth="1"/>
    <col min="2504" max="2504" width="70.59765625" style="363" customWidth="1"/>
    <col min="2505" max="2509" width="10.59765625" style="363" customWidth="1"/>
    <col min="2510" max="2758" width="9" style="363" bestFit="1"/>
    <col min="2759" max="2759" width="1.19921875" style="363" customWidth="1"/>
    <col min="2760" max="2760" width="70.59765625" style="363" customWidth="1"/>
    <col min="2761" max="2765" width="10.59765625" style="363" customWidth="1"/>
    <col min="2766" max="3014" width="9" style="363" bestFit="1"/>
    <col min="3015" max="3015" width="1.19921875" style="363" customWidth="1"/>
    <col min="3016" max="3016" width="70.59765625" style="363" customWidth="1"/>
    <col min="3017" max="3021" width="10.59765625" style="363" customWidth="1"/>
    <col min="3022" max="3270" width="9" style="363" bestFit="1"/>
    <col min="3271" max="3271" width="1.19921875" style="363" customWidth="1"/>
    <col min="3272" max="3272" width="70.59765625" style="363" customWidth="1"/>
    <col min="3273" max="3277" width="10.59765625" style="363" customWidth="1"/>
    <col min="3278" max="3526" width="9" style="363" bestFit="1"/>
    <col min="3527" max="3527" width="1.19921875" style="363" customWidth="1"/>
    <col min="3528" max="3528" width="70.59765625" style="363" customWidth="1"/>
    <col min="3529" max="3533" width="10.59765625" style="363" customWidth="1"/>
    <col min="3534" max="3782" width="9" style="363" bestFit="1"/>
    <col min="3783" max="3783" width="1.19921875" style="363" customWidth="1"/>
    <col min="3784" max="3784" width="70.59765625" style="363" customWidth="1"/>
    <col min="3785" max="3789" width="10.59765625" style="363" customWidth="1"/>
    <col min="3790" max="4038" width="9" style="363" bestFit="1"/>
    <col min="4039" max="4039" width="1.19921875" style="363" customWidth="1"/>
    <col min="4040" max="4040" width="70.59765625" style="363" customWidth="1"/>
    <col min="4041" max="4045" width="10.59765625" style="363" customWidth="1"/>
    <col min="4046" max="4294" width="9" style="363" bestFit="1"/>
    <col min="4295" max="4295" width="1.19921875" style="363" customWidth="1"/>
    <col min="4296" max="4296" width="70.59765625" style="363" customWidth="1"/>
    <col min="4297" max="4301" width="10.59765625" style="363" customWidth="1"/>
    <col min="4302" max="4550" width="9" style="363" bestFit="1"/>
    <col min="4551" max="4551" width="1.19921875" style="363" customWidth="1"/>
    <col min="4552" max="4552" width="70.59765625" style="363" customWidth="1"/>
    <col min="4553" max="4557" width="10.59765625" style="363" customWidth="1"/>
    <col min="4558" max="4806" width="9" style="363" bestFit="1"/>
    <col min="4807" max="4807" width="1.19921875" style="363" customWidth="1"/>
    <col min="4808" max="4808" width="70.59765625" style="363" customWidth="1"/>
    <col min="4809" max="4813" width="10.59765625" style="363" customWidth="1"/>
    <col min="4814" max="5062" width="9" style="363" bestFit="1"/>
    <col min="5063" max="5063" width="1.19921875" style="363" customWidth="1"/>
    <col min="5064" max="5064" width="70.59765625" style="363" customWidth="1"/>
    <col min="5065" max="5069" width="10.59765625" style="363" customWidth="1"/>
    <col min="5070" max="5318" width="9" style="363" bestFit="1"/>
    <col min="5319" max="5319" width="1.19921875" style="363" customWidth="1"/>
    <col min="5320" max="5320" width="70.59765625" style="363" customWidth="1"/>
    <col min="5321" max="5325" width="10.59765625" style="363" customWidth="1"/>
    <col min="5326" max="5574" width="9" style="363" bestFit="1"/>
    <col min="5575" max="5575" width="1.19921875" style="363" customWidth="1"/>
    <col min="5576" max="5576" width="70.59765625" style="363" customWidth="1"/>
    <col min="5577" max="5581" width="10.59765625" style="363" customWidth="1"/>
    <col min="5582" max="5830" width="9" style="363" bestFit="1"/>
    <col min="5831" max="5831" width="1.19921875" style="363" customWidth="1"/>
    <col min="5832" max="5832" width="70.59765625" style="363" customWidth="1"/>
    <col min="5833" max="5837" width="10.59765625" style="363" customWidth="1"/>
    <col min="5838" max="6086" width="9" style="363" bestFit="1"/>
    <col min="6087" max="6087" width="1.19921875" style="363" customWidth="1"/>
    <col min="6088" max="6088" width="70.59765625" style="363" customWidth="1"/>
    <col min="6089" max="6093" width="10.59765625" style="363" customWidth="1"/>
    <col min="6094" max="6342" width="9" style="363" bestFit="1"/>
    <col min="6343" max="6343" width="1.19921875" style="363" customWidth="1"/>
    <col min="6344" max="6344" width="70.59765625" style="363" customWidth="1"/>
    <col min="6345" max="6349" width="10.59765625" style="363" customWidth="1"/>
    <col min="6350" max="6598" width="9" style="363" bestFit="1"/>
    <col min="6599" max="6599" width="1.19921875" style="363" customWidth="1"/>
    <col min="6600" max="6600" width="70.59765625" style="363" customWidth="1"/>
    <col min="6601" max="6605" width="10.59765625" style="363" customWidth="1"/>
    <col min="6606" max="6854" width="9" style="363" bestFit="1"/>
    <col min="6855" max="6855" width="1.19921875" style="363" customWidth="1"/>
    <col min="6856" max="6856" width="70.59765625" style="363" customWidth="1"/>
    <col min="6857" max="6861" width="10.59765625" style="363" customWidth="1"/>
    <col min="6862" max="7110" width="9" style="363" bestFit="1"/>
    <col min="7111" max="7111" width="1.19921875" style="363" customWidth="1"/>
    <col min="7112" max="7112" width="70.59765625" style="363" customWidth="1"/>
    <col min="7113" max="7117" width="10.59765625" style="363" customWidth="1"/>
    <col min="7118" max="7366" width="9" style="363" bestFit="1"/>
    <col min="7367" max="7367" width="1.19921875" style="363" customWidth="1"/>
    <col min="7368" max="7368" width="70.59765625" style="363" customWidth="1"/>
    <col min="7369" max="7373" width="10.59765625" style="363" customWidth="1"/>
    <col min="7374" max="7622" width="9" style="363" bestFit="1"/>
    <col min="7623" max="7623" width="1.19921875" style="363" customWidth="1"/>
    <col min="7624" max="7624" width="70.59765625" style="363" customWidth="1"/>
    <col min="7625" max="7629" width="10.59765625" style="363" customWidth="1"/>
    <col min="7630" max="7878" width="9" style="363" bestFit="1"/>
    <col min="7879" max="7879" width="1.19921875" style="363" customWidth="1"/>
    <col min="7880" max="7880" width="70.59765625" style="363" customWidth="1"/>
    <col min="7881" max="7885" width="10.59765625" style="363" customWidth="1"/>
    <col min="7886" max="8134" width="9" style="363" bestFit="1"/>
    <col min="8135" max="8135" width="1.19921875" style="363" customWidth="1"/>
    <col min="8136" max="8136" width="70.59765625" style="363" customWidth="1"/>
    <col min="8137" max="8141" width="10.59765625" style="363" customWidth="1"/>
    <col min="8142" max="8390" width="9" style="363" bestFit="1"/>
    <col min="8391" max="8391" width="1.19921875" style="363" customWidth="1"/>
    <col min="8392" max="8392" width="70.59765625" style="363" customWidth="1"/>
    <col min="8393" max="8397" width="10.59765625" style="363" customWidth="1"/>
    <col min="8398" max="8646" width="9" style="363" bestFit="1"/>
    <col min="8647" max="8647" width="1.19921875" style="363" customWidth="1"/>
    <col min="8648" max="8648" width="70.59765625" style="363" customWidth="1"/>
    <col min="8649" max="8653" width="10.59765625" style="363" customWidth="1"/>
    <col min="8654" max="8902" width="9" style="363" bestFit="1"/>
    <col min="8903" max="8903" width="1.19921875" style="363" customWidth="1"/>
    <col min="8904" max="8904" width="70.59765625" style="363" customWidth="1"/>
    <col min="8905" max="8909" width="10.59765625" style="363" customWidth="1"/>
    <col min="8910" max="9158" width="9" style="363" bestFit="1"/>
    <col min="9159" max="9159" width="1.19921875" style="363" customWidth="1"/>
    <col min="9160" max="9160" width="70.59765625" style="363" customWidth="1"/>
    <col min="9161" max="9165" width="10.59765625" style="363" customWidth="1"/>
    <col min="9166" max="9414" width="9" style="363" bestFit="1"/>
    <col min="9415" max="9415" width="1.19921875" style="363" customWidth="1"/>
    <col min="9416" max="9416" width="70.59765625" style="363" customWidth="1"/>
    <col min="9417" max="9421" width="10.59765625" style="363" customWidth="1"/>
    <col min="9422" max="9670" width="9" style="363" bestFit="1"/>
    <col min="9671" max="9671" width="1.19921875" style="363" customWidth="1"/>
    <col min="9672" max="9672" width="70.59765625" style="363" customWidth="1"/>
    <col min="9673" max="9677" width="10.59765625" style="363" customWidth="1"/>
    <col min="9678" max="9926" width="9" style="363" bestFit="1"/>
    <col min="9927" max="9927" width="1.19921875" style="363" customWidth="1"/>
    <col min="9928" max="9928" width="70.59765625" style="363" customWidth="1"/>
    <col min="9929" max="9933" width="10.59765625" style="363" customWidth="1"/>
    <col min="9934" max="10182" width="9" style="363" bestFit="1"/>
    <col min="10183" max="10183" width="1.19921875" style="363" customWidth="1"/>
    <col min="10184" max="10184" width="70.59765625" style="363" customWidth="1"/>
    <col min="10185" max="10189" width="10.59765625" style="363" customWidth="1"/>
    <col min="10190" max="10438" width="9" style="363" bestFit="1"/>
    <col min="10439" max="10439" width="1.19921875" style="363" customWidth="1"/>
    <col min="10440" max="10440" width="70.59765625" style="363" customWidth="1"/>
    <col min="10441" max="10445" width="10.59765625" style="363" customWidth="1"/>
    <col min="10446" max="10694" width="9" style="363" bestFit="1"/>
    <col min="10695" max="10695" width="1.19921875" style="363" customWidth="1"/>
    <col min="10696" max="10696" width="70.59765625" style="363" customWidth="1"/>
    <col min="10697" max="10701" width="10.59765625" style="363" customWidth="1"/>
    <col min="10702" max="10950" width="9" style="363" bestFit="1"/>
    <col min="10951" max="10951" width="1.19921875" style="363" customWidth="1"/>
    <col min="10952" max="10952" width="70.59765625" style="363" customWidth="1"/>
    <col min="10953" max="10957" width="10.59765625" style="363" customWidth="1"/>
    <col min="10958" max="11206" width="9" style="363" bestFit="1"/>
    <col min="11207" max="11207" width="1.19921875" style="363" customWidth="1"/>
    <col min="11208" max="11208" width="70.59765625" style="363" customWidth="1"/>
    <col min="11209" max="11213" width="10.59765625" style="363" customWidth="1"/>
    <col min="11214" max="11462" width="9" style="363" bestFit="1"/>
    <col min="11463" max="11463" width="1.19921875" style="363" customWidth="1"/>
    <col min="11464" max="11464" width="70.59765625" style="363" customWidth="1"/>
    <col min="11465" max="11469" width="10.59765625" style="363" customWidth="1"/>
    <col min="11470" max="11718" width="9" style="363" bestFit="1"/>
    <col min="11719" max="11719" width="1.19921875" style="363" customWidth="1"/>
    <col min="11720" max="11720" width="70.59765625" style="363" customWidth="1"/>
    <col min="11721" max="11725" width="10.59765625" style="363" customWidth="1"/>
    <col min="11726" max="11974" width="9" style="363" bestFit="1"/>
    <col min="11975" max="11975" width="1.19921875" style="363" customWidth="1"/>
    <col min="11976" max="11976" width="70.59765625" style="363" customWidth="1"/>
    <col min="11977" max="11981" width="10.59765625" style="363" customWidth="1"/>
    <col min="11982" max="12230" width="9" style="363" bestFit="1"/>
    <col min="12231" max="12231" width="1.19921875" style="363" customWidth="1"/>
    <col min="12232" max="12232" width="70.59765625" style="363" customWidth="1"/>
    <col min="12233" max="12237" width="10.59765625" style="363" customWidth="1"/>
    <col min="12238" max="12486" width="9" style="363" bestFit="1"/>
    <col min="12487" max="12487" width="1.19921875" style="363" customWidth="1"/>
    <col min="12488" max="12488" width="70.59765625" style="363" customWidth="1"/>
    <col min="12489" max="12493" width="10.59765625" style="363" customWidth="1"/>
    <col min="12494" max="12742" width="9" style="363" bestFit="1"/>
    <col min="12743" max="12743" width="1.19921875" style="363" customWidth="1"/>
    <col min="12744" max="12744" width="70.59765625" style="363" customWidth="1"/>
    <col min="12745" max="12749" width="10.59765625" style="363" customWidth="1"/>
    <col min="12750" max="12998" width="9" style="363" bestFit="1"/>
    <col min="12999" max="12999" width="1.19921875" style="363" customWidth="1"/>
    <col min="13000" max="13000" width="70.59765625" style="363" customWidth="1"/>
    <col min="13001" max="13005" width="10.59765625" style="363" customWidth="1"/>
    <col min="13006" max="13254" width="9" style="363" bestFit="1"/>
    <col min="13255" max="13255" width="1.19921875" style="363" customWidth="1"/>
    <col min="13256" max="13256" width="70.59765625" style="363" customWidth="1"/>
    <col min="13257" max="13261" width="10.59765625" style="363" customWidth="1"/>
    <col min="13262" max="13510" width="9" style="363" bestFit="1"/>
    <col min="13511" max="13511" width="1.19921875" style="363" customWidth="1"/>
    <col min="13512" max="13512" width="70.59765625" style="363" customWidth="1"/>
    <col min="13513" max="13517" width="10.59765625" style="363" customWidth="1"/>
    <col min="13518" max="13766" width="9" style="363" bestFit="1"/>
    <col min="13767" max="13767" width="1.19921875" style="363" customWidth="1"/>
    <col min="13768" max="13768" width="70.59765625" style="363" customWidth="1"/>
    <col min="13769" max="13773" width="10.59765625" style="363" customWidth="1"/>
    <col min="13774" max="14022" width="9" style="363" bestFit="1"/>
    <col min="14023" max="14023" width="1.19921875" style="363" customWidth="1"/>
    <col min="14024" max="14024" width="70.59765625" style="363" customWidth="1"/>
    <col min="14025" max="14029" width="10.59765625" style="363" customWidth="1"/>
    <col min="14030" max="14278" width="9" style="363" bestFit="1"/>
    <col min="14279" max="14279" width="1.19921875" style="363" customWidth="1"/>
    <col min="14280" max="14280" width="70.59765625" style="363" customWidth="1"/>
    <col min="14281" max="14285" width="10.59765625" style="363" customWidth="1"/>
    <col min="14286" max="14534" width="9" style="363" bestFit="1"/>
    <col min="14535" max="14535" width="1.19921875" style="363" customWidth="1"/>
    <col min="14536" max="14536" width="70.59765625" style="363" customWidth="1"/>
    <col min="14537" max="14541" width="10.59765625" style="363" customWidth="1"/>
    <col min="14542" max="14790" width="9" style="363" bestFit="1"/>
    <col min="14791" max="14791" width="1.19921875" style="363" customWidth="1"/>
    <col min="14792" max="14792" width="70.59765625" style="363" customWidth="1"/>
    <col min="14793" max="14797" width="10.59765625" style="363" customWidth="1"/>
    <col min="14798" max="15046" width="9" style="363" bestFit="1"/>
    <col min="15047" max="15047" width="1.19921875" style="363" customWidth="1"/>
    <col min="15048" max="15048" width="70.59765625" style="363" customWidth="1"/>
    <col min="15049" max="15053" width="10.59765625" style="363" customWidth="1"/>
    <col min="15054" max="15302" width="9" style="363" bestFit="1"/>
    <col min="15303" max="15303" width="1.19921875" style="363" customWidth="1"/>
    <col min="15304" max="15304" width="70.59765625" style="363" customWidth="1"/>
    <col min="15305" max="15309" width="10.59765625" style="363" customWidth="1"/>
    <col min="15310" max="15558" width="9" style="363" bestFit="1"/>
    <col min="15559" max="15559" width="1.19921875" style="363" customWidth="1"/>
    <col min="15560" max="15560" width="70.59765625" style="363" customWidth="1"/>
    <col min="15561" max="15565" width="10.59765625" style="363" customWidth="1"/>
    <col min="15566" max="16384" width="9" style="363"/>
  </cols>
  <sheetData>
    <row r="1" spans="1:13" ht="13.8" x14ac:dyDescent="0.25">
      <c r="A1" s="11" t="s">
        <v>26</v>
      </c>
      <c r="B1" s="61"/>
      <c r="C1" s="61"/>
      <c r="D1" s="37"/>
      <c r="E1" s="1"/>
      <c r="F1" s="1"/>
      <c r="G1" s="37"/>
      <c r="H1" s="1"/>
      <c r="I1" s="1"/>
      <c r="J1" s="1"/>
      <c r="K1" s="1"/>
      <c r="L1" s="1"/>
      <c r="M1" s="1"/>
    </row>
    <row r="2" spans="1:13" x14ac:dyDescent="0.25">
      <c r="A2" s="61"/>
      <c r="B2" s="61"/>
      <c r="C2" s="61"/>
      <c r="D2" s="1"/>
      <c r="E2" s="1"/>
      <c r="F2" s="1"/>
      <c r="G2" s="1"/>
      <c r="H2" s="1"/>
      <c r="I2" s="1"/>
      <c r="J2" s="1"/>
      <c r="K2" s="1"/>
      <c r="L2" s="1"/>
      <c r="M2" s="1"/>
    </row>
    <row r="3" spans="1:13" ht="32.25" customHeight="1" x14ac:dyDescent="0.25">
      <c r="A3" s="679" t="s">
        <v>855</v>
      </c>
      <c r="B3" s="679"/>
      <c r="C3" s="679"/>
      <c r="D3" s="1"/>
      <c r="E3" s="1"/>
      <c r="F3" s="1"/>
      <c r="G3" s="1"/>
      <c r="H3" s="1"/>
      <c r="I3" s="1"/>
      <c r="J3" s="1"/>
      <c r="K3" s="1"/>
      <c r="L3" s="1"/>
      <c r="M3" s="1"/>
    </row>
    <row r="4" spans="1:13" ht="13.5" customHeight="1" x14ac:dyDescent="0.25">
      <c r="A4" s="11"/>
      <c r="B4" s="11"/>
      <c r="C4" s="1"/>
      <c r="D4" s="1"/>
      <c r="E4" s="1"/>
      <c r="F4" s="1"/>
      <c r="G4" s="1"/>
      <c r="H4" s="1"/>
      <c r="I4" s="1"/>
      <c r="J4" s="1"/>
      <c r="K4" s="1"/>
      <c r="L4" s="1"/>
      <c r="M4" s="1"/>
    </row>
    <row r="5" spans="1:13" ht="95.7" customHeight="1" x14ac:dyDescent="0.25">
      <c r="A5" s="673" t="s">
        <v>856</v>
      </c>
      <c r="B5" s="673"/>
      <c r="C5" s="673"/>
      <c r="D5" s="339"/>
      <c r="E5" s="1"/>
      <c r="F5" s="1"/>
      <c r="G5" s="1"/>
      <c r="H5" s="1"/>
      <c r="I5" s="1"/>
      <c r="J5" s="1"/>
      <c r="K5" s="1"/>
      <c r="L5" s="1"/>
      <c r="M5" s="1"/>
    </row>
    <row r="6" spans="1:13" ht="15" customHeight="1" thickBot="1" x14ac:dyDescent="0.3">
      <c r="A6" s="83"/>
      <c r="B6" s="83"/>
      <c r="C6" s="83"/>
      <c r="D6" s="83"/>
      <c r="E6" s="1"/>
      <c r="F6" s="1"/>
      <c r="G6" s="1"/>
      <c r="H6" s="1"/>
      <c r="I6" s="1"/>
      <c r="J6" s="1"/>
      <c r="K6" s="1"/>
      <c r="L6" s="1"/>
      <c r="M6" s="1"/>
    </row>
    <row r="7" spans="1:13" ht="40.5" customHeight="1" thickBot="1" x14ac:dyDescent="0.3">
      <c r="A7" s="96"/>
      <c r="B7" s="119" t="s">
        <v>638</v>
      </c>
      <c r="C7" s="119" t="s">
        <v>96</v>
      </c>
      <c r="D7" s="119" t="s">
        <v>97</v>
      </c>
      <c r="E7" s="1"/>
      <c r="F7" s="1"/>
      <c r="G7" s="1"/>
      <c r="H7" s="1"/>
      <c r="I7" s="1"/>
      <c r="J7" s="1"/>
      <c r="K7" s="1"/>
      <c r="L7" s="1"/>
      <c r="M7" s="38"/>
    </row>
    <row r="8" spans="1:13" x14ac:dyDescent="0.25">
      <c r="A8" s="352"/>
      <c r="B8" s="352"/>
      <c r="C8" s="1"/>
      <c r="D8" s="1"/>
      <c r="E8" s="1"/>
      <c r="F8" s="1"/>
      <c r="G8" s="1"/>
      <c r="H8" s="1"/>
      <c r="I8" s="1"/>
      <c r="J8" s="1"/>
      <c r="K8" s="1"/>
      <c r="L8" s="1"/>
      <c r="M8" s="38"/>
    </row>
    <row r="9" spans="1:13" ht="15" customHeight="1" x14ac:dyDescent="0.25">
      <c r="A9" s="8" t="s">
        <v>98</v>
      </c>
      <c r="B9" s="395" t="s">
        <v>940</v>
      </c>
      <c r="C9" s="394"/>
      <c r="D9" s="507"/>
      <c r="E9" s="1"/>
      <c r="F9" s="1"/>
      <c r="G9" s="1"/>
      <c r="H9" s="1"/>
      <c r="I9" s="1"/>
      <c r="J9" s="1"/>
      <c r="K9" s="1"/>
      <c r="L9" s="1"/>
      <c r="M9" s="38"/>
    </row>
    <row r="10" spans="1:13" ht="15" customHeight="1" x14ac:dyDescent="0.25">
      <c r="A10" s="352"/>
      <c r="B10" s="508"/>
      <c r="C10" s="517"/>
      <c r="D10" s="507"/>
      <c r="E10" s="1"/>
      <c r="F10" s="1"/>
      <c r="G10" s="1"/>
      <c r="H10" s="1"/>
      <c r="I10" s="1"/>
      <c r="J10" s="1"/>
      <c r="K10" s="1"/>
      <c r="L10" s="1"/>
      <c r="M10" s="38"/>
    </row>
    <row r="11" spans="1:13" ht="15" customHeight="1" x14ac:dyDescent="0.25">
      <c r="A11" s="351" t="s">
        <v>99</v>
      </c>
      <c r="B11" s="505" t="s">
        <v>941</v>
      </c>
      <c r="C11" s="394"/>
      <c r="D11" s="507"/>
      <c r="E11" s="1"/>
      <c r="F11" s="1"/>
      <c r="G11" s="1"/>
      <c r="H11" s="1"/>
      <c r="I11" s="38"/>
      <c r="J11" s="1"/>
      <c r="K11" s="1"/>
      <c r="L11" s="1"/>
      <c r="M11" s="38"/>
    </row>
    <row r="12" spans="1:13" ht="15" customHeight="1" x14ac:dyDescent="0.25">
      <c r="A12" s="351"/>
      <c r="B12" s="505"/>
      <c r="C12" s="517"/>
      <c r="D12" s="507"/>
      <c r="E12" s="1"/>
      <c r="F12" s="1"/>
      <c r="G12" s="1"/>
      <c r="H12" s="1"/>
      <c r="I12" s="38"/>
      <c r="J12" s="1"/>
      <c r="K12" s="1"/>
      <c r="L12" s="1"/>
      <c r="M12" s="38"/>
    </row>
    <row r="13" spans="1:13" ht="15" customHeight="1" x14ac:dyDescent="0.25">
      <c r="A13" s="173" t="s">
        <v>100</v>
      </c>
      <c r="B13" s="508" t="s">
        <v>942</v>
      </c>
      <c r="C13" s="323"/>
      <c r="D13" s="503"/>
      <c r="E13" s="1"/>
      <c r="F13" s="1"/>
      <c r="G13" s="1"/>
      <c r="H13" s="1"/>
      <c r="I13" s="1"/>
      <c r="J13" s="1"/>
      <c r="K13" s="1"/>
      <c r="L13" s="1"/>
      <c r="M13" s="38"/>
    </row>
    <row r="14" spans="1:13" ht="15" customHeight="1" x14ac:dyDescent="0.25">
      <c r="A14" s="27" t="s">
        <v>101</v>
      </c>
      <c r="B14" s="396"/>
      <c r="C14" s="504"/>
      <c r="D14" s="503"/>
      <c r="E14" s="1"/>
      <c r="F14" s="1"/>
      <c r="G14" s="1"/>
      <c r="H14" s="1"/>
      <c r="I14" s="77"/>
      <c r="J14" s="1"/>
      <c r="K14" s="1"/>
      <c r="L14" s="1"/>
      <c r="M14" s="38"/>
    </row>
    <row r="15" spans="1:13" ht="15" customHeight="1" x14ac:dyDescent="0.25">
      <c r="A15" s="27" t="s">
        <v>102</v>
      </c>
      <c r="B15" s="396"/>
      <c r="C15" s="504"/>
      <c r="D15" s="503"/>
      <c r="E15" s="1"/>
      <c r="F15" s="1"/>
      <c r="G15" s="1"/>
      <c r="H15" s="1"/>
      <c r="I15" s="77"/>
      <c r="J15" s="1"/>
      <c r="K15" s="1"/>
      <c r="L15" s="1"/>
      <c r="M15" s="38"/>
    </row>
    <row r="16" spans="1:13" ht="15" customHeight="1" x14ac:dyDescent="0.25">
      <c r="A16" s="25"/>
      <c r="B16" s="506"/>
      <c r="C16" s="504"/>
      <c r="D16" s="503"/>
      <c r="E16" s="1"/>
      <c r="F16" s="1"/>
      <c r="G16" s="1"/>
      <c r="H16" s="1"/>
      <c r="I16" s="77"/>
      <c r="J16" s="1"/>
      <c r="K16" s="1"/>
      <c r="L16" s="1"/>
      <c r="M16" s="38"/>
    </row>
    <row r="17" spans="1:32" ht="15" customHeight="1" x14ac:dyDescent="0.25">
      <c r="A17" s="173" t="s">
        <v>103</v>
      </c>
      <c r="B17" s="508" t="s">
        <v>943</v>
      </c>
      <c r="C17" s="323"/>
      <c r="D17" s="503"/>
      <c r="E17" s="1"/>
      <c r="F17" s="1"/>
      <c r="G17" s="1"/>
      <c r="H17" s="1"/>
      <c r="I17" s="1"/>
      <c r="J17" s="1"/>
      <c r="K17" s="1"/>
      <c r="L17" s="1"/>
      <c r="M17" s="38"/>
      <c r="N17" s="1"/>
      <c r="O17" s="1"/>
      <c r="P17" s="1"/>
      <c r="Q17" s="1"/>
      <c r="R17" s="1"/>
      <c r="S17" s="1"/>
      <c r="T17" s="1"/>
      <c r="U17" s="1"/>
      <c r="V17" s="1"/>
      <c r="W17" s="1"/>
      <c r="X17" s="1"/>
      <c r="Y17" s="1"/>
      <c r="Z17" s="1"/>
      <c r="AA17" s="1"/>
      <c r="AB17" s="1"/>
      <c r="AC17" s="1"/>
      <c r="AD17" s="1"/>
      <c r="AE17" s="1"/>
      <c r="AF17" s="1"/>
    </row>
    <row r="18" spans="1:32" ht="15" customHeight="1" x14ac:dyDescent="0.25">
      <c r="A18" s="27" t="s">
        <v>104</v>
      </c>
      <c r="B18" s="396"/>
      <c r="C18" s="504"/>
      <c r="D18" s="503"/>
      <c r="E18" s="1"/>
      <c r="F18" s="1"/>
      <c r="G18" s="1"/>
      <c r="H18" s="1"/>
      <c r="I18" s="1"/>
      <c r="J18" s="1"/>
      <c r="K18" s="1"/>
      <c r="L18" s="1"/>
      <c r="M18" s="38"/>
      <c r="N18" s="1"/>
      <c r="O18" s="1"/>
      <c r="P18" s="1"/>
      <c r="Q18" s="1"/>
      <c r="R18" s="1"/>
      <c r="S18" s="1"/>
      <c r="T18" s="1"/>
      <c r="U18" s="1"/>
      <c r="V18" s="1"/>
      <c r="W18" s="1"/>
      <c r="X18" s="1"/>
      <c r="Y18" s="1"/>
      <c r="Z18" s="1"/>
      <c r="AA18" s="1"/>
      <c r="AB18" s="1"/>
      <c r="AC18" s="1"/>
      <c r="AD18" s="1"/>
      <c r="AE18" s="1"/>
      <c r="AF18" s="1"/>
    </row>
    <row r="19" spans="1:32" ht="15" customHeight="1" x14ac:dyDescent="0.25">
      <c r="A19" s="27" t="s">
        <v>105</v>
      </c>
      <c r="B19" s="396"/>
      <c r="C19" s="504"/>
      <c r="D19" s="503"/>
      <c r="E19" s="1"/>
      <c r="F19" s="1"/>
      <c r="G19" s="1"/>
      <c r="H19" s="1"/>
      <c r="I19" s="38"/>
      <c r="J19" s="1"/>
      <c r="K19" s="1"/>
      <c r="L19" s="1"/>
      <c r="M19" s="38"/>
      <c r="N19" s="1"/>
      <c r="O19" s="1"/>
      <c r="P19" s="1"/>
      <c r="Q19" s="1"/>
      <c r="R19" s="1"/>
      <c r="S19" s="1"/>
      <c r="T19" s="1"/>
      <c r="U19" s="1"/>
      <c r="V19" s="1"/>
      <c r="W19" s="1"/>
      <c r="X19" s="1"/>
      <c r="Y19" s="1"/>
      <c r="Z19" s="1"/>
      <c r="AA19" s="1"/>
      <c r="AB19" s="1"/>
      <c r="AC19" s="1"/>
      <c r="AD19" s="1"/>
      <c r="AE19" s="1"/>
      <c r="AF19" s="1"/>
    </row>
    <row r="20" spans="1:32" ht="15" customHeight="1" x14ac:dyDescent="0.25">
      <c r="A20" s="27" t="s">
        <v>106</v>
      </c>
      <c r="B20" s="396"/>
      <c r="C20" s="504"/>
      <c r="D20" s="503"/>
      <c r="E20" s="1"/>
      <c r="F20" s="1"/>
      <c r="G20" s="1"/>
      <c r="H20" s="1"/>
      <c r="I20" s="38"/>
      <c r="J20" s="1"/>
      <c r="K20" s="1"/>
      <c r="L20" s="1"/>
      <c r="M20" s="1"/>
      <c r="N20" s="1"/>
      <c r="O20" s="1"/>
      <c r="P20" s="1"/>
      <c r="Q20" s="1"/>
      <c r="R20" s="1"/>
      <c r="S20" s="1"/>
      <c r="T20" s="1"/>
      <c r="U20" s="1"/>
      <c r="V20" s="1"/>
      <c r="W20" s="1"/>
      <c r="X20" s="1"/>
      <c r="Y20" s="1"/>
      <c r="Z20" s="1"/>
      <c r="AA20" s="1"/>
      <c r="AB20" s="1"/>
      <c r="AC20" s="1"/>
      <c r="AD20" s="1"/>
      <c r="AE20" s="1"/>
      <c r="AF20" s="1"/>
    </row>
    <row r="21" spans="1:32" ht="15" customHeight="1" x14ac:dyDescent="0.25">
      <c r="A21" s="27" t="s">
        <v>107</v>
      </c>
      <c r="B21" s="396"/>
      <c r="C21" s="504"/>
      <c r="D21" s="503"/>
      <c r="E21" s="1"/>
      <c r="F21" s="38"/>
      <c r="G21" s="1"/>
      <c r="H21" s="1"/>
      <c r="I21" s="38"/>
      <c r="J21" s="1"/>
      <c r="K21" s="1"/>
      <c r="L21" s="1"/>
      <c r="M21" s="1"/>
      <c r="N21" s="1"/>
      <c r="O21" s="1"/>
      <c r="P21" s="1"/>
      <c r="Q21" s="1"/>
      <c r="R21" s="1"/>
      <c r="S21" s="1"/>
      <c r="T21" s="1"/>
      <c r="U21" s="1"/>
      <c r="V21" s="1"/>
      <c r="W21" s="1"/>
      <c r="X21" s="1"/>
      <c r="Y21" s="1"/>
      <c r="Z21" s="1"/>
      <c r="AA21" s="1"/>
      <c r="AB21" s="1"/>
      <c r="AC21" s="1"/>
      <c r="AD21" s="1"/>
      <c r="AE21" s="1"/>
      <c r="AF21" s="1"/>
    </row>
    <row r="22" spans="1:32" ht="15" customHeight="1" x14ac:dyDescent="0.25">
      <c r="A22" s="25"/>
      <c r="B22" s="508"/>
      <c r="C22" s="517"/>
      <c r="D22" s="503"/>
      <c r="E22" s="1"/>
      <c r="F22" s="38"/>
      <c r="G22" s="1"/>
      <c r="H22" s="1"/>
      <c r="I22" s="38"/>
      <c r="J22" s="1"/>
      <c r="K22" s="1"/>
      <c r="L22" s="1"/>
      <c r="M22" s="1"/>
      <c r="N22" s="1"/>
      <c r="O22" s="1"/>
      <c r="P22" s="1"/>
      <c r="Q22" s="1"/>
      <c r="R22" s="1"/>
      <c r="S22" s="1"/>
      <c r="T22" s="1"/>
      <c r="U22" s="1"/>
      <c r="V22" s="1"/>
      <c r="W22" s="1"/>
      <c r="X22" s="1"/>
      <c r="Y22" s="1"/>
      <c r="Z22" s="1"/>
      <c r="AA22" s="1"/>
      <c r="AB22" s="1"/>
      <c r="AC22" s="1"/>
      <c r="AD22" s="1"/>
      <c r="AE22" s="1"/>
      <c r="AF22" s="1"/>
    </row>
    <row r="23" spans="1:32" ht="15" customHeight="1" x14ac:dyDescent="0.25">
      <c r="A23" s="351" t="s">
        <v>108</v>
      </c>
      <c r="B23" s="505" t="s">
        <v>956</v>
      </c>
      <c r="C23" s="394"/>
      <c r="D23" s="507"/>
      <c r="E23" s="54"/>
      <c r="F23" s="1"/>
      <c r="G23" s="1"/>
      <c r="H23" s="1"/>
      <c r="I23" s="38"/>
      <c r="J23" s="1"/>
      <c r="K23" s="1"/>
      <c r="L23" s="1"/>
      <c r="M23" s="1"/>
      <c r="N23" s="1"/>
      <c r="O23" s="1"/>
      <c r="P23" s="1"/>
      <c r="Q23" s="1"/>
      <c r="R23" s="1"/>
      <c r="S23" s="1"/>
      <c r="T23" s="1"/>
      <c r="U23" s="1"/>
      <c r="V23" s="1"/>
      <c r="W23" s="1"/>
      <c r="X23" s="1"/>
      <c r="Y23" s="1"/>
      <c r="Z23" s="1"/>
      <c r="AA23" s="1"/>
      <c r="AB23" s="1"/>
      <c r="AC23" s="1"/>
      <c r="AD23" s="1"/>
      <c r="AE23" s="1"/>
      <c r="AF23" s="1"/>
    </row>
    <row r="24" spans="1:32" ht="15" customHeight="1" x14ac:dyDescent="0.25">
      <c r="A24" s="122" t="s">
        <v>109</v>
      </c>
      <c r="B24" s="396"/>
      <c r="C24" s="504"/>
      <c r="D24" s="503"/>
      <c r="E24" s="1"/>
      <c r="F24" s="1"/>
      <c r="G24" s="1"/>
      <c r="H24" s="1"/>
      <c r="I24" s="38"/>
      <c r="J24" s="1"/>
      <c r="K24" s="1"/>
      <c r="L24" s="1"/>
      <c r="M24" s="1"/>
      <c r="N24" s="1"/>
      <c r="O24" s="1"/>
      <c r="P24" s="1"/>
      <c r="Q24" s="1"/>
      <c r="R24" s="1"/>
      <c r="S24" s="1"/>
      <c r="T24" s="1"/>
      <c r="U24" s="1"/>
      <c r="V24" s="1"/>
      <c r="W24" s="1"/>
      <c r="X24" s="1"/>
      <c r="Y24" s="1"/>
      <c r="Z24" s="1"/>
      <c r="AA24" s="1"/>
      <c r="AB24" s="1"/>
      <c r="AC24" s="1"/>
      <c r="AD24" s="1"/>
      <c r="AE24" s="1"/>
      <c r="AF24" s="1"/>
    </row>
    <row r="25" spans="1:32" ht="15" customHeight="1" x14ac:dyDescent="0.25">
      <c r="A25" s="122" t="s">
        <v>110</v>
      </c>
      <c r="B25" s="396"/>
      <c r="C25" s="504"/>
      <c r="D25" s="503"/>
      <c r="E25" s="1"/>
      <c r="F25" s="1"/>
      <c r="G25" s="1"/>
      <c r="H25" s="1"/>
      <c r="I25" s="1"/>
      <c r="J25" s="38"/>
      <c r="K25" s="38"/>
      <c r="L25" s="38"/>
      <c r="M25" s="1"/>
      <c r="N25" s="1"/>
      <c r="O25" s="1"/>
      <c r="P25" s="1"/>
      <c r="Q25" s="1"/>
      <c r="R25" s="1"/>
      <c r="S25" s="1"/>
      <c r="T25" s="1"/>
      <c r="U25" s="1"/>
      <c r="V25" s="1"/>
      <c r="W25" s="1"/>
      <c r="X25" s="1"/>
      <c r="Y25" s="1"/>
      <c r="Z25" s="1"/>
      <c r="AA25" s="1"/>
      <c r="AB25" s="1"/>
      <c r="AC25" s="1"/>
      <c r="AD25" s="1"/>
      <c r="AE25" s="1"/>
      <c r="AF25" s="1"/>
    </row>
    <row r="26" spans="1:32" ht="15" customHeight="1" x14ac:dyDescent="0.25">
      <c r="A26" s="122" t="s">
        <v>952</v>
      </c>
      <c r="B26" s="396"/>
      <c r="C26" s="648"/>
      <c r="D26" s="89"/>
      <c r="E26" s="1"/>
      <c r="F26" s="1"/>
      <c r="G26" s="1"/>
      <c r="H26" s="1"/>
      <c r="I26" s="1"/>
      <c r="J26" s="38"/>
      <c r="K26" s="38"/>
      <c r="L26" s="38"/>
      <c r="M26" s="1"/>
      <c r="N26" s="1"/>
      <c r="O26" s="1"/>
      <c r="P26" s="1"/>
      <c r="Q26" s="1"/>
      <c r="R26" s="1"/>
      <c r="S26" s="1"/>
      <c r="T26" s="1"/>
      <c r="U26" s="1"/>
      <c r="V26" s="1"/>
      <c r="W26" s="1"/>
      <c r="X26" s="1"/>
      <c r="Y26" s="1"/>
      <c r="Z26" s="1"/>
      <c r="AA26" s="1"/>
      <c r="AB26" s="1"/>
      <c r="AC26" s="1"/>
      <c r="AD26" s="1"/>
      <c r="AE26" s="1"/>
      <c r="AF26" s="1"/>
    </row>
    <row r="27" spans="1:32" ht="15" customHeight="1" x14ac:dyDescent="0.25">
      <c r="A27" s="122" t="s">
        <v>953</v>
      </c>
      <c r="B27" s="396"/>
      <c r="C27" s="648"/>
      <c r="D27" s="89"/>
      <c r="E27" s="1"/>
      <c r="F27" s="1"/>
      <c r="G27" s="1"/>
      <c r="H27" s="1"/>
      <c r="I27" s="1"/>
      <c r="J27" s="38"/>
      <c r="K27" s="38"/>
      <c r="L27" s="38"/>
      <c r="M27" s="1"/>
      <c r="N27" s="1"/>
      <c r="O27" s="1"/>
      <c r="P27" s="1"/>
      <c r="Q27" s="1"/>
      <c r="R27" s="1"/>
      <c r="S27" s="1"/>
      <c r="T27" s="1"/>
      <c r="U27" s="1"/>
      <c r="V27" s="1"/>
      <c r="W27" s="1"/>
      <c r="X27" s="1"/>
      <c r="Y27" s="1"/>
      <c r="Z27" s="1"/>
      <c r="AA27" s="1"/>
      <c r="AB27" s="1"/>
      <c r="AC27" s="1"/>
      <c r="AD27" s="1"/>
      <c r="AE27" s="1"/>
      <c r="AF27" s="1"/>
    </row>
    <row r="28" spans="1:32" ht="15" customHeight="1" x14ac:dyDescent="0.25">
      <c r="A28" s="363" t="s">
        <v>957</v>
      </c>
      <c r="B28" s="396"/>
      <c r="C28" s="648"/>
      <c r="D28" s="89"/>
      <c r="E28" s="1"/>
      <c r="F28" s="1"/>
      <c r="G28" s="1"/>
      <c r="H28" s="1"/>
      <c r="I28" s="1"/>
      <c r="J28" s="38"/>
      <c r="K28" s="38"/>
      <c r="L28" s="38"/>
      <c r="M28" s="1"/>
      <c r="N28" s="1"/>
      <c r="O28" s="1"/>
      <c r="P28" s="1"/>
      <c r="Q28" s="1"/>
      <c r="R28" s="1"/>
      <c r="S28" s="1"/>
      <c r="T28" s="1"/>
      <c r="U28" s="1"/>
      <c r="V28" s="1"/>
      <c r="W28" s="1"/>
      <c r="X28" s="1"/>
      <c r="Y28" s="1"/>
      <c r="Z28" s="1"/>
      <c r="AA28" s="1"/>
      <c r="AB28" s="1"/>
      <c r="AC28" s="1"/>
      <c r="AD28" s="1"/>
      <c r="AE28" s="1"/>
      <c r="AF28" s="1"/>
    </row>
    <row r="29" spans="1:32" ht="13.8" thickBot="1" x14ac:dyDescent="0.3">
      <c r="A29" s="513"/>
      <c r="B29" s="95"/>
      <c r="C29" s="83"/>
      <c r="D29" s="83"/>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x14ac:dyDescent="0.25">
      <c r="A30" s="8"/>
      <c r="B30" s="8"/>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1:32" ht="18.75" customHeight="1" x14ac:dyDescent="0.25">
      <c r="A31" s="673" t="s">
        <v>857</v>
      </c>
      <c r="B31" s="673"/>
      <c r="C31" s="673"/>
      <c r="D31" s="673"/>
      <c r="E31" s="673"/>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1:32" ht="5.25" customHeight="1" x14ac:dyDescent="0.25">
      <c r="A32" s="8"/>
      <c r="B32" s="7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spans="1:33" ht="146.4" customHeight="1" x14ac:dyDescent="0.25">
      <c r="A33" s="673" t="s">
        <v>639</v>
      </c>
      <c r="B33" s="673"/>
      <c r="C33" s="673"/>
      <c r="D33" s="673"/>
      <c r="E33" s="673"/>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spans="1:33" x14ac:dyDescent="0.25">
      <c r="A34" s="352"/>
      <c r="B34" s="352"/>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spans="1:33" ht="27.75" customHeight="1" x14ac:dyDescent="0.25">
      <c r="A35" s="674" t="s">
        <v>93</v>
      </c>
      <c r="B35" s="674"/>
      <c r="C35" s="674"/>
      <c r="D35" s="674"/>
      <c r="E35" s="674"/>
      <c r="F35" s="1"/>
      <c r="G35" s="1"/>
      <c r="H35" s="1"/>
      <c r="I35" s="1"/>
      <c r="J35" s="1"/>
      <c r="K35" s="38"/>
      <c r="L35" s="38"/>
      <c r="M35" s="38"/>
      <c r="N35" s="38"/>
      <c r="O35" s="38"/>
      <c r="P35" s="38"/>
      <c r="Q35" s="38"/>
      <c r="R35" s="38"/>
      <c r="S35" s="38"/>
      <c r="T35" s="38"/>
      <c r="U35" s="38"/>
      <c r="V35" s="38"/>
      <c r="W35" s="38"/>
      <c r="X35" s="38"/>
      <c r="Y35" s="38"/>
      <c r="Z35" s="38"/>
      <c r="AA35" s="38"/>
      <c r="AB35" s="38"/>
      <c r="AC35" s="38"/>
      <c r="AD35" s="38"/>
      <c r="AE35" s="38"/>
      <c r="AF35" s="38"/>
    </row>
    <row r="36" spans="1:33" ht="28.05" customHeight="1" x14ac:dyDescent="0.25">
      <c r="A36" s="673" t="s">
        <v>94</v>
      </c>
      <c r="B36" s="673"/>
      <c r="C36" s="673"/>
      <c r="D36" s="673"/>
      <c r="E36" s="673"/>
      <c r="F36" s="1"/>
      <c r="G36" s="1"/>
      <c r="H36" s="1"/>
      <c r="I36" s="1"/>
      <c r="J36" s="1"/>
      <c r="K36" s="1"/>
      <c r="L36" s="38"/>
      <c r="M36" s="38"/>
      <c r="N36" s="38"/>
      <c r="O36" s="38"/>
      <c r="P36" s="38"/>
      <c r="Q36" s="38"/>
      <c r="R36" s="38"/>
      <c r="S36" s="38"/>
      <c r="T36" s="38"/>
      <c r="U36" s="38"/>
      <c r="V36" s="38"/>
      <c r="W36" s="38"/>
      <c r="X36" s="38"/>
      <c r="Y36" s="38"/>
      <c r="Z36" s="38"/>
      <c r="AA36" s="38"/>
      <c r="AB36" s="38"/>
      <c r="AC36" s="38"/>
      <c r="AD36" s="38"/>
      <c r="AE36" s="38"/>
      <c r="AF36" s="38"/>
      <c r="AG36" s="38"/>
    </row>
    <row r="37" spans="1:33" hidden="1" x14ac:dyDescent="0.25">
      <c r="A37" s="1"/>
      <c r="B37" s="1"/>
      <c r="C37" s="1"/>
      <c r="D37" s="1"/>
      <c r="E37" s="1"/>
      <c r="F37" s="1"/>
      <c r="G37" s="1"/>
      <c r="H37" s="1"/>
      <c r="I37" s="1"/>
      <c r="J37" s="1"/>
      <c r="K37" s="1"/>
      <c r="L37" s="38"/>
      <c r="M37" s="1"/>
      <c r="N37" s="1"/>
      <c r="O37" s="1"/>
      <c r="P37" s="1"/>
      <c r="Q37" s="1"/>
      <c r="R37" s="1"/>
      <c r="S37" s="1"/>
      <c r="T37" s="1"/>
      <c r="U37" s="1"/>
      <c r="V37" s="1"/>
      <c r="W37" s="1"/>
      <c r="X37" s="1"/>
      <c r="Y37" s="1"/>
      <c r="Z37" s="1"/>
      <c r="AA37" s="1"/>
      <c r="AB37" s="1"/>
      <c r="AC37" s="1"/>
      <c r="AD37" s="1"/>
      <c r="AE37" s="1"/>
      <c r="AF37" s="1"/>
      <c r="AG37" s="1"/>
    </row>
    <row r="39" spans="1:33" x14ac:dyDescent="0.25">
      <c r="A39" s="1"/>
      <c r="B39" s="1"/>
      <c r="C39" s="1"/>
      <c r="D39" s="1"/>
      <c r="E39" s="1"/>
      <c r="F39" s="1"/>
      <c r="G39" s="1"/>
      <c r="H39" s="1"/>
      <c r="I39" s="1"/>
      <c r="J39" s="1"/>
      <c r="K39" s="1"/>
      <c r="L39" s="38"/>
      <c r="M39" s="38"/>
      <c r="N39" s="38"/>
      <c r="O39" s="1"/>
      <c r="P39" s="1"/>
      <c r="Q39" s="1"/>
      <c r="R39" s="1"/>
      <c r="S39" s="1"/>
      <c r="T39" s="1"/>
      <c r="U39" s="1"/>
      <c r="V39" s="1"/>
      <c r="W39" s="1"/>
      <c r="X39" s="1"/>
      <c r="Y39" s="1"/>
      <c r="Z39" s="1"/>
      <c r="AA39" s="1"/>
      <c r="AB39" s="1"/>
      <c r="AC39" s="1"/>
      <c r="AD39" s="1"/>
      <c r="AE39" s="1"/>
      <c r="AF39" s="1"/>
      <c r="AG39" s="1"/>
    </row>
    <row r="42" spans="1:33" x14ac:dyDescent="0.25">
      <c r="A42" s="1"/>
      <c r="B42" s="1"/>
      <c r="C42" s="1"/>
      <c r="D42" s="1"/>
      <c r="E42" s="1"/>
      <c r="F42" s="1"/>
      <c r="G42" s="1"/>
      <c r="H42" s="1"/>
      <c r="I42" s="1"/>
      <c r="J42" s="1"/>
      <c r="K42" s="1"/>
      <c r="L42" s="38"/>
      <c r="M42" s="38"/>
      <c r="N42" s="38"/>
      <c r="O42" s="1"/>
      <c r="P42" s="1"/>
      <c r="Q42" s="1"/>
      <c r="R42" s="1"/>
      <c r="S42" s="1"/>
      <c r="T42" s="1"/>
      <c r="U42" s="1"/>
      <c r="V42" s="1"/>
      <c r="W42" s="1"/>
      <c r="X42" s="1"/>
      <c r="Y42" s="1"/>
      <c r="Z42" s="1"/>
      <c r="AA42" s="1"/>
      <c r="AB42" s="1"/>
      <c r="AC42" s="1"/>
      <c r="AD42" s="1"/>
      <c r="AE42" s="1"/>
      <c r="AF42" s="1"/>
      <c r="AG42" s="1"/>
    </row>
    <row r="43" spans="1:33" x14ac:dyDescent="0.25">
      <c r="A43" s="1"/>
      <c r="B43" s="1"/>
      <c r="C43" s="1"/>
      <c r="D43" s="1"/>
      <c r="E43" s="1"/>
      <c r="F43" s="1"/>
      <c r="G43" s="1"/>
      <c r="H43" s="1"/>
      <c r="I43" s="1"/>
      <c r="J43" s="1"/>
      <c r="K43" s="1"/>
      <c r="L43" s="38"/>
      <c r="M43" s="38"/>
      <c r="N43" s="38"/>
      <c r="O43" s="1"/>
      <c r="P43" s="1"/>
      <c r="Q43" s="1"/>
      <c r="R43" s="1"/>
      <c r="S43" s="1"/>
      <c r="T43" s="1"/>
      <c r="U43" s="1"/>
      <c r="V43" s="1"/>
      <c r="W43" s="1"/>
      <c r="X43" s="1"/>
      <c r="Y43" s="1"/>
      <c r="Z43" s="1"/>
      <c r="AA43" s="1"/>
      <c r="AB43" s="1"/>
      <c r="AC43" s="1"/>
      <c r="AD43" s="1"/>
      <c r="AE43" s="1"/>
      <c r="AF43" s="1"/>
      <c r="AG43" s="1"/>
    </row>
    <row r="44" spans="1:33" x14ac:dyDescent="0.25">
      <c r="A44" s="1"/>
      <c r="B44" s="1"/>
      <c r="C44" s="1"/>
      <c r="D44" s="1"/>
      <c r="E44" s="1"/>
      <c r="F44" s="1"/>
      <c r="G44" s="1"/>
      <c r="H44" s="1"/>
      <c r="I44" s="1"/>
      <c r="J44" s="1"/>
      <c r="K44" s="1"/>
      <c r="L44" s="38"/>
      <c r="M44" s="38"/>
      <c r="N44" s="38"/>
      <c r="O44" s="1"/>
      <c r="P44" s="1"/>
      <c r="Q44" s="1"/>
      <c r="R44" s="1"/>
      <c r="S44" s="1"/>
      <c r="T44" s="1"/>
      <c r="U44" s="1"/>
      <c r="V44" s="1"/>
      <c r="W44" s="1"/>
      <c r="X44" s="1"/>
      <c r="Y44" s="1"/>
      <c r="Z44" s="1"/>
      <c r="AA44" s="1"/>
      <c r="AB44" s="1"/>
      <c r="AC44" s="1"/>
      <c r="AD44" s="1"/>
      <c r="AE44" s="1"/>
      <c r="AF44" s="1"/>
      <c r="AG44" s="1"/>
    </row>
    <row r="45" spans="1:33" x14ac:dyDescent="0.25">
      <c r="A45" s="1"/>
      <c r="B45" s="1"/>
      <c r="C45" s="1"/>
      <c r="D45" s="1"/>
      <c r="E45" s="1"/>
      <c r="F45" s="1"/>
      <c r="G45" s="1"/>
      <c r="H45" s="1"/>
      <c r="I45" s="1"/>
      <c r="J45" s="1"/>
      <c r="K45" s="1"/>
      <c r="L45" s="38"/>
      <c r="M45" s="38"/>
      <c r="N45" s="38"/>
      <c r="O45" s="1"/>
      <c r="P45" s="1"/>
      <c r="Q45" s="1"/>
      <c r="R45" s="1"/>
      <c r="S45" s="1"/>
      <c r="T45" s="1"/>
      <c r="U45" s="1"/>
      <c r="V45" s="1"/>
      <c r="W45" s="1"/>
      <c r="X45" s="1"/>
      <c r="Y45" s="1"/>
      <c r="Z45" s="1"/>
      <c r="AA45" s="1"/>
      <c r="AB45" s="1"/>
      <c r="AC45" s="1"/>
      <c r="AD45" s="1"/>
      <c r="AE45" s="1"/>
      <c r="AF45" s="1"/>
      <c r="AG45" s="1"/>
    </row>
    <row r="46" spans="1:33" ht="38.25" customHeight="1" x14ac:dyDescent="0.25">
      <c r="A46" s="1"/>
      <c r="B46" s="1"/>
      <c r="C46" s="1"/>
      <c r="D46" s="1"/>
      <c r="E46" s="1"/>
      <c r="F46" s="1"/>
      <c r="G46" s="1"/>
      <c r="H46" s="1"/>
      <c r="I46" s="1"/>
      <c r="J46" s="1"/>
      <c r="K46" s="1"/>
      <c r="L46" s="38"/>
      <c r="M46" s="38"/>
      <c r="N46" s="38"/>
      <c r="O46" s="1"/>
      <c r="P46" s="1"/>
      <c r="Q46" s="1"/>
      <c r="R46" s="1"/>
      <c r="S46" s="1"/>
      <c r="T46" s="1"/>
      <c r="U46" s="1"/>
      <c r="V46" s="1"/>
      <c r="W46" s="1"/>
      <c r="X46" s="1"/>
      <c r="Y46" s="1"/>
      <c r="Z46" s="1"/>
      <c r="AA46" s="1"/>
      <c r="AB46" s="1"/>
      <c r="AC46" s="1"/>
      <c r="AD46" s="1"/>
      <c r="AE46" s="1"/>
      <c r="AF46" s="1"/>
      <c r="AG46" s="1"/>
    </row>
    <row r="47" spans="1:33" ht="51" customHeight="1" x14ac:dyDescent="0.25">
      <c r="A47" s="1"/>
      <c r="B47" s="1"/>
      <c r="C47" s="1"/>
      <c r="D47" s="1"/>
      <c r="E47" s="1"/>
      <c r="F47" s="1"/>
      <c r="G47" s="1"/>
      <c r="H47" s="1"/>
      <c r="I47" s="1"/>
      <c r="J47" s="1"/>
      <c r="K47" s="1"/>
      <c r="L47" s="38"/>
      <c r="M47" s="38"/>
      <c r="N47" s="38"/>
      <c r="O47" s="1"/>
      <c r="P47" s="1"/>
      <c r="Q47" s="1"/>
      <c r="R47" s="1"/>
      <c r="S47" s="1"/>
      <c r="T47" s="1"/>
      <c r="U47" s="1"/>
      <c r="V47" s="1"/>
      <c r="W47" s="1"/>
      <c r="X47" s="1"/>
      <c r="Y47" s="1"/>
      <c r="Z47" s="1"/>
      <c r="AA47" s="1"/>
      <c r="AB47" s="1"/>
      <c r="AC47" s="1"/>
      <c r="AD47" s="1"/>
      <c r="AE47" s="1"/>
      <c r="AF47" s="1"/>
      <c r="AG47" s="1"/>
    </row>
    <row r="48" spans="1:33" x14ac:dyDescent="0.25">
      <c r="A48" s="1"/>
      <c r="B48" s="1"/>
      <c r="C48" s="1"/>
      <c r="D48" s="1"/>
      <c r="E48" s="1"/>
      <c r="F48" s="1"/>
      <c r="G48" s="1"/>
      <c r="H48" s="1"/>
      <c r="I48" s="1"/>
      <c r="J48" s="1"/>
      <c r="K48" s="1"/>
      <c r="L48" s="38"/>
      <c r="M48" s="38"/>
      <c r="N48" s="38"/>
      <c r="O48" s="1"/>
      <c r="P48" s="1"/>
      <c r="Q48" s="1"/>
      <c r="R48" s="1"/>
      <c r="S48" s="1"/>
      <c r="T48" s="1"/>
      <c r="U48" s="1"/>
      <c r="V48" s="1"/>
      <c r="W48" s="1"/>
      <c r="X48" s="1"/>
      <c r="Y48" s="1"/>
      <c r="Z48" s="1"/>
      <c r="AA48" s="1"/>
      <c r="AB48" s="1"/>
      <c r="AC48" s="1"/>
      <c r="AD48" s="1"/>
      <c r="AE48" s="1"/>
      <c r="AF48" s="1"/>
      <c r="AG48" s="1"/>
    </row>
    <row r="49" spans="1:33" x14ac:dyDescent="0.25">
      <c r="A49" s="1"/>
      <c r="B49" s="1"/>
      <c r="C49" s="1"/>
      <c r="D49" s="1"/>
      <c r="E49" s="1"/>
      <c r="F49" s="1"/>
      <c r="G49" s="1"/>
      <c r="H49" s="1"/>
      <c r="I49" s="1"/>
      <c r="J49" s="1"/>
      <c r="K49" s="1"/>
      <c r="L49" s="38"/>
      <c r="M49" s="38"/>
      <c r="N49" s="38"/>
      <c r="O49" s="1"/>
      <c r="P49" s="1"/>
      <c r="Q49" s="1"/>
      <c r="R49" s="1"/>
      <c r="S49" s="1"/>
      <c r="T49" s="1"/>
      <c r="U49" s="1"/>
      <c r="V49" s="1"/>
      <c r="W49" s="1"/>
      <c r="X49" s="1"/>
      <c r="Y49" s="1"/>
      <c r="Z49" s="1"/>
      <c r="AA49" s="1"/>
      <c r="AB49" s="1"/>
      <c r="AC49" s="1"/>
      <c r="AD49" s="1"/>
      <c r="AE49" s="1"/>
      <c r="AF49" s="1"/>
      <c r="AG49" s="1"/>
    </row>
    <row r="50" spans="1:33" x14ac:dyDescent="0.25">
      <c r="A50" s="1"/>
      <c r="B50" s="1"/>
      <c r="C50" s="1"/>
      <c r="D50" s="1"/>
      <c r="E50" s="1"/>
      <c r="F50" s="1"/>
      <c r="G50" s="1"/>
      <c r="H50" s="1"/>
      <c r="I50" s="1"/>
      <c r="J50" s="1"/>
      <c r="K50" s="1"/>
      <c r="L50" s="38"/>
      <c r="M50" s="38"/>
      <c r="N50" s="38"/>
      <c r="O50" s="1"/>
      <c r="P50" s="1"/>
      <c r="Q50" s="1"/>
      <c r="R50" s="1"/>
      <c r="S50" s="1"/>
      <c r="T50" s="1"/>
      <c r="U50" s="1"/>
      <c r="V50" s="1"/>
      <c r="W50" s="1"/>
      <c r="X50" s="1"/>
      <c r="Y50" s="1"/>
      <c r="Z50" s="1"/>
      <c r="AA50" s="1"/>
      <c r="AB50" s="1"/>
      <c r="AC50" s="1"/>
      <c r="AD50" s="1"/>
      <c r="AE50" s="1"/>
      <c r="AF50" s="1"/>
      <c r="AG50" s="1"/>
    </row>
    <row r="51" spans="1:33" x14ac:dyDescent="0.25">
      <c r="A51" s="1"/>
      <c r="B51" s="1"/>
      <c r="C51" s="1"/>
      <c r="D51" s="1"/>
      <c r="E51" s="1"/>
      <c r="F51" s="1"/>
      <c r="G51" s="1"/>
      <c r="H51" s="1"/>
      <c r="I51" s="1"/>
      <c r="J51" s="1"/>
      <c r="K51" s="1"/>
      <c r="L51" s="38"/>
      <c r="M51" s="38"/>
      <c r="N51" s="38"/>
      <c r="O51" s="1"/>
      <c r="P51" s="1"/>
      <c r="Q51" s="1"/>
      <c r="R51" s="1"/>
      <c r="S51" s="1"/>
      <c r="T51" s="1"/>
      <c r="U51" s="1"/>
      <c r="V51" s="1"/>
      <c r="W51" s="1"/>
      <c r="X51" s="1"/>
      <c r="Y51" s="1"/>
      <c r="Z51" s="1"/>
      <c r="AA51" s="1"/>
      <c r="AB51" s="1"/>
      <c r="AC51" s="1"/>
      <c r="AD51" s="1"/>
      <c r="AE51" s="1"/>
      <c r="AF51" s="1"/>
      <c r="AG51" s="1"/>
    </row>
    <row r="52" spans="1:33" x14ac:dyDescent="0.25">
      <c r="L52" s="38"/>
      <c r="M52" s="38"/>
      <c r="N52" s="38"/>
    </row>
    <row r="53" spans="1:33" x14ac:dyDescent="0.25">
      <c r="L53" s="38"/>
      <c r="M53" s="38"/>
      <c r="N53" s="38"/>
    </row>
    <row r="54" spans="1:33" x14ac:dyDescent="0.25">
      <c r="L54" s="38"/>
      <c r="M54" s="38"/>
      <c r="N54" s="38"/>
    </row>
    <row r="55" spans="1:33" x14ac:dyDescent="0.25">
      <c r="L55" s="38"/>
      <c r="M55" s="38"/>
      <c r="N55" s="38"/>
    </row>
    <row r="56" spans="1:33" x14ac:dyDescent="0.25">
      <c r="L56" s="38"/>
      <c r="M56" s="38"/>
      <c r="N56" s="38"/>
    </row>
    <row r="57" spans="1:33" x14ac:dyDescent="0.25">
      <c r="L57" s="38"/>
      <c r="M57" s="38"/>
      <c r="N57" s="38"/>
    </row>
    <row r="58" spans="1:33" x14ac:dyDescent="0.25">
      <c r="L58" s="38"/>
      <c r="M58" s="38"/>
      <c r="N58" s="38"/>
    </row>
    <row r="59" spans="1:33" x14ac:dyDescent="0.25">
      <c r="L59" s="38"/>
      <c r="M59" s="38"/>
      <c r="N59" s="38"/>
    </row>
    <row r="60" spans="1:33" x14ac:dyDescent="0.25">
      <c r="L60" s="38"/>
      <c r="M60" s="38"/>
      <c r="N60" s="38"/>
    </row>
  </sheetData>
  <mergeCells count="6">
    <mergeCell ref="A36:E36"/>
    <mergeCell ref="A3:C3"/>
    <mergeCell ref="A5:C5"/>
    <mergeCell ref="A31:E31"/>
    <mergeCell ref="A33:E33"/>
    <mergeCell ref="A35:E35"/>
  </mergeCells>
  <pageMargins left="0.23622047244094491" right="0.23622047244094491" top="0.15748031496062992" bottom="0.15748031496062992" header="0" footer="0"/>
  <pageSetup paperSize="9" scale="7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9"/>
  <sheetViews>
    <sheetView workbookViewId="0"/>
  </sheetViews>
  <sheetFormatPr defaultColWidth="9" defaultRowHeight="13.2" x14ac:dyDescent="0.25"/>
  <cols>
    <col min="1" max="1" width="56.69921875" style="363" customWidth="1"/>
    <col min="2" max="2" width="12.09765625" style="363" customWidth="1"/>
    <col min="3" max="3" width="12.796875" style="363" customWidth="1"/>
    <col min="4" max="4" width="15.19921875" style="363" customWidth="1"/>
    <col min="5" max="5" width="14.69921875" style="363" customWidth="1"/>
    <col min="6" max="6" width="17.19921875" style="363" customWidth="1"/>
    <col min="7" max="7" width="9.5" style="363" customWidth="1"/>
    <col min="8" max="8" width="9" style="363" bestFit="1"/>
    <col min="9" max="9" width="23.09765625" style="363" bestFit="1" customWidth="1"/>
    <col min="10" max="10" width="9" style="363" bestFit="1"/>
    <col min="11" max="11" width="13.09765625" style="363" customWidth="1"/>
    <col min="12" max="12" width="10.296875" style="363" customWidth="1"/>
    <col min="13" max="15" width="9" style="363" bestFit="1"/>
    <col min="16" max="16" width="12.09765625" style="363" customWidth="1"/>
    <col min="17" max="18" width="9" style="363" bestFit="1"/>
    <col min="19" max="19" width="10.796875" style="363" customWidth="1"/>
    <col min="20" max="198" width="9" style="363" bestFit="1"/>
    <col min="199" max="199" width="1.19921875" style="363" customWidth="1"/>
    <col min="200" max="200" width="70.59765625" style="363" customWidth="1"/>
    <col min="201" max="205" width="10.59765625" style="363" customWidth="1"/>
    <col min="206" max="454" width="9" style="363" bestFit="1"/>
    <col min="455" max="455" width="1.19921875" style="363" customWidth="1"/>
    <col min="456" max="456" width="70.59765625" style="363" customWidth="1"/>
    <col min="457" max="461" width="10.59765625" style="363" customWidth="1"/>
    <col min="462" max="710" width="9" style="363" bestFit="1"/>
    <col min="711" max="711" width="1.19921875" style="363" customWidth="1"/>
    <col min="712" max="712" width="70.59765625" style="363" customWidth="1"/>
    <col min="713" max="717" width="10.59765625" style="363" customWidth="1"/>
    <col min="718" max="966" width="9" style="363" bestFit="1"/>
    <col min="967" max="967" width="1.19921875" style="363" customWidth="1"/>
    <col min="968" max="968" width="70.59765625" style="363" customWidth="1"/>
    <col min="969" max="973" width="10.59765625" style="363" customWidth="1"/>
    <col min="974" max="1222" width="9" style="363" bestFit="1"/>
    <col min="1223" max="1223" width="1.19921875" style="363" customWidth="1"/>
    <col min="1224" max="1224" width="70.59765625" style="363" customWidth="1"/>
    <col min="1225" max="1229" width="10.59765625" style="363" customWidth="1"/>
    <col min="1230" max="1478" width="9" style="363" bestFit="1"/>
    <col min="1479" max="1479" width="1.19921875" style="363" customWidth="1"/>
    <col min="1480" max="1480" width="70.59765625" style="363" customWidth="1"/>
    <col min="1481" max="1485" width="10.59765625" style="363" customWidth="1"/>
    <col min="1486" max="1734" width="9" style="363" bestFit="1"/>
    <col min="1735" max="1735" width="1.19921875" style="363" customWidth="1"/>
    <col min="1736" max="1736" width="70.59765625" style="363" customWidth="1"/>
    <col min="1737" max="1741" width="10.59765625" style="363" customWidth="1"/>
    <col min="1742" max="1990" width="9" style="363" bestFit="1"/>
    <col min="1991" max="1991" width="1.19921875" style="363" customWidth="1"/>
    <col min="1992" max="1992" width="70.59765625" style="363" customWidth="1"/>
    <col min="1993" max="1997" width="10.59765625" style="363" customWidth="1"/>
    <col min="1998" max="2246" width="9" style="363" bestFit="1"/>
    <col min="2247" max="2247" width="1.19921875" style="363" customWidth="1"/>
    <col min="2248" max="2248" width="70.59765625" style="363" customWidth="1"/>
    <col min="2249" max="2253" width="10.59765625" style="363" customWidth="1"/>
    <col min="2254" max="2502" width="9" style="363" bestFit="1"/>
    <col min="2503" max="2503" width="1.19921875" style="363" customWidth="1"/>
    <col min="2504" max="2504" width="70.59765625" style="363" customWidth="1"/>
    <col min="2505" max="2509" width="10.59765625" style="363" customWidth="1"/>
    <col min="2510" max="2758" width="9" style="363" bestFit="1"/>
    <col min="2759" max="2759" width="1.19921875" style="363" customWidth="1"/>
    <col min="2760" max="2760" width="70.59765625" style="363" customWidth="1"/>
    <col min="2761" max="2765" width="10.59765625" style="363" customWidth="1"/>
    <col min="2766" max="3014" width="9" style="363" bestFit="1"/>
    <col min="3015" max="3015" width="1.19921875" style="363" customWidth="1"/>
    <col min="3016" max="3016" width="70.59765625" style="363" customWidth="1"/>
    <col min="3017" max="3021" width="10.59765625" style="363" customWidth="1"/>
    <col min="3022" max="3270" width="9" style="363" bestFit="1"/>
    <col min="3271" max="3271" width="1.19921875" style="363" customWidth="1"/>
    <col min="3272" max="3272" width="70.59765625" style="363" customWidth="1"/>
    <col min="3273" max="3277" width="10.59765625" style="363" customWidth="1"/>
    <col min="3278" max="3526" width="9" style="363" bestFit="1"/>
    <col min="3527" max="3527" width="1.19921875" style="363" customWidth="1"/>
    <col min="3528" max="3528" width="70.59765625" style="363" customWidth="1"/>
    <col min="3529" max="3533" width="10.59765625" style="363" customWidth="1"/>
    <col min="3534" max="3782" width="9" style="363" bestFit="1"/>
    <col min="3783" max="3783" width="1.19921875" style="363" customWidth="1"/>
    <col min="3784" max="3784" width="70.59765625" style="363" customWidth="1"/>
    <col min="3785" max="3789" width="10.59765625" style="363" customWidth="1"/>
    <col min="3790" max="4038" width="9" style="363" bestFit="1"/>
    <col min="4039" max="4039" width="1.19921875" style="363" customWidth="1"/>
    <col min="4040" max="4040" width="70.59765625" style="363" customWidth="1"/>
    <col min="4041" max="4045" width="10.59765625" style="363" customWidth="1"/>
    <col min="4046" max="4294" width="9" style="363" bestFit="1"/>
    <col min="4295" max="4295" width="1.19921875" style="363" customWidth="1"/>
    <col min="4296" max="4296" width="70.59765625" style="363" customWidth="1"/>
    <col min="4297" max="4301" width="10.59765625" style="363" customWidth="1"/>
    <col min="4302" max="4550" width="9" style="363" bestFit="1"/>
    <col min="4551" max="4551" width="1.19921875" style="363" customWidth="1"/>
    <col min="4552" max="4552" width="70.59765625" style="363" customWidth="1"/>
    <col min="4553" max="4557" width="10.59765625" style="363" customWidth="1"/>
    <col min="4558" max="4806" width="9" style="363" bestFit="1"/>
    <col min="4807" max="4807" width="1.19921875" style="363" customWidth="1"/>
    <col min="4808" max="4808" width="70.59765625" style="363" customWidth="1"/>
    <col min="4809" max="4813" width="10.59765625" style="363" customWidth="1"/>
    <col min="4814" max="5062" width="9" style="363" bestFit="1"/>
    <col min="5063" max="5063" width="1.19921875" style="363" customWidth="1"/>
    <col min="5064" max="5064" width="70.59765625" style="363" customWidth="1"/>
    <col min="5065" max="5069" width="10.59765625" style="363" customWidth="1"/>
    <col min="5070" max="5318" width="9" style="363" bestFit="1"/>
    <col min="5319" max="5319" width="1.19921875" style="363" customWidth="1"/>
    <col min="5320" max="5320" width="70.59765625" style="363" customWidth="1"/>
    <col min="5321" max="5325" width="10.59765625" style="363" customWidth="1"/>
    <col min="5326" max="5574" width="9" style="363" bestFit="1"/>
    <col min="5575" max="5575" width="1.19921875" style="363" customWidth="1"/>
    <col min="5576" max="5576" width="70.59765625" style="363" customWidth="1"/>
    <col min="5577" max="5581" width="10.59765625" style="363" customWidth="1"/>
    <col min="5582" max="5830" width="9" style="363" bestFit="1"/>
    <col min="5831" max="5831" width="1.19921875" style="363" customWidth="1"/>
    <col min="5832" max="5832" width="70.59765625" style="363" customWidth="1"/>
    <col min="5833" max="5837" width="10.59765625" style="363" customWidth="1"/>
    <col min="5838" max="6086" width="9" style="363" bestFit="1"/>
    <col min="6087" max="6087" width="1.19921875" style="363" customWidth="1"/>
    <col min="6088" max="6088" width="70.59765625" style="363" customWidth="1"/>
    <col min="6089" max="6093" width="10.59765625" style="363" customWidth="1"/>
    <col min="6094" max="6342" width="9" style="363" bestFit="1"/>
    <col min="6343" max="6343" width="1.19921875" style="363" customWidth="1"/>
    <col min="6344" max="6344" width="70.59765625" style="363" customWidth="1"/>
    <col min="6345" max="6349" width="10.59765625" style="363" customWidth="1"/>
    <col min="6350" max="6598" width="9" style="363" bestFit="1"/>
    <col min="6599" max="6599" width="1.19921875" style="363" customWidth="1"/>
    <col min="6600" max="6600" width="70.59765625" style="363" customWidth="1"/>
    <col min="6601" max="6605" width="10.59765625" style="363" customWidth="1"/>
    <col min="6606" max="6854" width="9" style="363" bestFit="1"/>
    <col min="6855" max="6855" width="1.19921875" style="363" customWidth="1"/>
    <col min="6856" max="6856" width="70.59765625" style="363" customWidth="1"/>
    <col min="6857" max="6861" width="10.59765625" style="363" customWidth="1"/>
    <col min="6862" max="7110" width="9" style="363" bestFit="1"/>
    <col min="7111" max="7111" width="1.19921875" style="363" customWidth="1"/>
    <col min="7112" max="7112" width="70.59765625" style="363" customWidth="1"/>
    <col min="7113" max="7117" width="10.59765625" style="363" customWidth="1"/>
    <col min="7118" max="7366" width="9" style="363" bestFit="1"/>
    <col min="7367" max="7367" width="1.19921875" style="363" customWidth="1"/>
    <col min="7368" max="7368" width="70.59765625" style="363" customWidth="1"/>
    <col min="7369" max="7373" width="10.59765625" style="363" customWidth="1"/>
    <col min="7374" max="7622" width="9" style="363" bestFit="1"/>
    <col min="7623" max="7623" width="1.19921875" style="363" customWidth="1"/>
    <col min="7624" max="7624" width="70.59765625" style="363" customWidth="1"/>
    <col min="7625" max="7629" width="10.59765625" style="363" customWidth="1"/>
    <col min="7630" max="7878" width="9" style="363" bestFit="1"/>
    <col min="7879" max="7879" width="1.19921875" style="363" customWidth="1"/>
    <col min="7880" max="7880" width="70.59765625" style="363" customWidth="1"/>
    <col min="7881" max="7885" width="10.59765625" style="363" customWidth="1"/>
    <col min="7886" max="8134" width="9" style="363" bestFit="1"/>
    <col min="8135" max="8135" width="1.19921875" style="363" customWidth="1"/>
    <col min="8136" max="8136" width="70.59765625" style="363" customWidth="1"/>
    <col min="8137" max="8141" width="10.59765625" style="363" customWidth="1"/>
    <col min="8142" max="8390" width="9" style="363" bestFit="1"/>
    <col min="8391" max="8391" width="1.19921875" style="363" customWidth="1"/>
    <col min="8392" max="8392" width="70.59765625" style="363" customWidth="1"/>
    <col min="8393" max="8397" width="10.59765625" style="363" customWidth="1"/>
    <col min="8398" max="8646" width="9" style="363" bestFit="1"/>
    <col min="8647" max="8647" width="1.19921875" style="363" customWidth="1"/>
    <col min="8648" max="8648" width="70.59765625" style="363" customWidth="1"/>
    <col min="8649" max="8653" width="10.59765625" style="363" customWidth="1"/>
    <col min="8654" max="8902" width="9" style="363" bestFit="1"/>
    <col min="8903" max="8903" width="1.19921875" style="363" customWidth="1"/>
    <col min="8904" max="8904" width="70.59765625" style="363" customWidth="1"/>
    <col min="8905" max="8909" width="10.59765625" style="363" customWidth="1"/>
    <col min="8910" max="9158" width="9" style="363" bestFit="1"/>
    <col min="9159" max="9159" width="1.19921875" style="363" customWidth="1"/>
    <col min="9160" max="9160" width="70.59765625" style="363" customWidth="1"/>
    <col min="9161" max="9165" width="10.59765625" style="363" customWidth="1"/>
    <col min="9166" max="9414" width="9" style="363" bestFit="1"/>
    <col min="9415" max="9415" width="1.19921875" style="363" customWidth="1"/>
    <col min="9416" max="9416" width="70.59765625" style="363" customWidth="1"/>
    <col min="9417" max="9421" width="10.59765625" style="363" customWidth="1"/>
    <col min="9422" max="9670" width="9" style="363" bestFit="1"/>
    <col min="9671" max="9671" width="1.19921875" style="363" customWidth="1"/>
    <col min="9672" max="9672" width="70.59765625" style="363" customWidth="1"/>
    <col min="9673" max="9677" width="10.59765625" style="363" customWidth="1"/>
    <col min="9678" max="9926" width="9" style="363" bestFit="1"/>
    <col min="9927" max="9927" width="1.19921875" style="363" customWidth="1"/>
    <col min="9928" max="9928" width="70.59765625" style="363" customWidth="1"/>
    <col min="9929" max="9933" width="10.59765625" style="363" customWidth="1"/>
    <col min="9934" max="10182" width="9" style="363" bestFit="1"/>
    <col min="10183" max="10183" width="1.19921875" style="363" customWidth="1"/>
    <col min="10184" max="10184" width="70.59765625" style="363" customWidth="1"/>
    <col min="10185" max="10189" width="10.59765625" style="363" customWidth="1"/>
    <col min="10190" max="10438" width="9" style="363" bestFit="1"/>
    <col min="10439" max="10439" width="1.19921875" style="363" customWidth="1"/>
    <col min="10440" max="10440" width="70.59765625" style="363" customWidth="1"/>
    <col min="10441" max="10445" width="10.59765625" style="363" customWidth="1"/>
    <col min="10446" max="10694" width="9" style="363" bestFit="1"/>
    <col min="10695" max="10695" width="1.19921875" style="363" customWidth="1"/>
    <col min="10696" max="10696" width="70.59765625" style="363" customWidth="1"/>
    <col min="10697" max="10701" width="10.59765625" style="363" customWidth="1"/>
    <col min="10702" max="10950" width="9" style="363" bestFit="1"/>
    <col min="10951" max="10951" width="1.19921875" style="363" customWidth="1"/>
    <col min="10952" max="10952" width="70.59765625" style="363" customWidth="1"/>
    <col min="10953" max="10957" width="10.59765625" style="363" customWidth="1"/>
    <col min="10958" max="11206" width="9" style="363" bestFit="1"/>
    <col min="11207" max="11207" width="1.19921875" style="363" customWidth="1"/>
    <col min="11208" max="11208" width="70.59765625" style="363" customWidth="1"/>
    <col min="11209" max="11213" width="10.59765625" style="363" customWidth="1"/>
    <col min="11214" max="11462" width="9" style="363" bestFit="1"/>
    <col min="11463" max="11463" width="1.19921875" style="363" customWidth="1"/>
    <col min="11464" max="11464" width="70.59765625" style="363" customWidth="1"/>
    <col min="11465" max="11469" width="10.59765625" style="363" customWidth="1"/>
    <col min="11470" max="11718" width="9" style="363" bestFit="1"/>
    <col min="11719" max="11719" width="1.19921875" style="363" customWidth="1"/>
    <col min="11720" max="11720" width="70.59765625" style="363" customWidth="1"/>
    <col min="11721" max="11725" width="10.59765625" style="363" customWidth="1"/>
    <col min="11726" max="11974" width="9" style="363" bestFit="1"/>
    <col min="11975" max="11975" width="1.19921875" style="363" customWidth="1"/>
    <col min="11976" max="11976" width="70.59765625" style="363" customWidth="1"/>
    <col min="11977" max="11981" width="10.59765625" style="363" customWidth="1"/>
    <col min="11982" max="12230" width="9" style="363" bestFit="1"/>
    <col min="12231" max="12231" width="1.19921875" style="363" customWidth="1"/>
    <col min="12232" max="12232" width="70.59765625" style="363" customWidth="1"/>
    <col min="12233" max="12237" width="10.59765625" style="363" customWidth="1"/>
    <col min="12238" max="12486" width="9" style="363" bestFit="1"/>
    <col min="12487" max="12487" width="1.19921875" style="363" customWidth="1"/>
    <col min="12488" max="12488" width="70.59765625" style="363" customWidth="1"/>
    <col min="12489" max="12493" width="10.59765625" style="363" customWidth="1"/>
    <col min="12494" max="12742" width="9" style="363" bestFit="1"/>
    <col min="12743" max="12743" width="1.19921875" style="363" customWidth="1"/>
    <col min="12744" max="12744" width="70.59765625" style="363" customWidth="1"/>
    <col min="12745" max="12749" width="10.59765625" style="363" customWidth="1"/>
    <col min="12750" max="12998" width="9" style="363" bestFit="1"/>
    <col min="12999" max="12999" width="1.19921875" style="363" customWidth="1"/>
    <col min="13000" max="13000" width="70.59765625" style="363" customWidth="1"/>
    <col min="13001" max="13005" width="10.59765625" style="363" customWidth="1"/>
    <col min="13006" max="13254" width="9" style="363" bestFit="1"/>
    <col min="13255" max="13255" width="1.19921875" style="363" customWidth="1"/>
    <col min="13256" max="13256" width="70.59765625" style="363" customWidth="1"/>
    <col min="13257" max="13261" width="10.59765625" style="363" customWidth="1"/>
    <col min="13262" max="13510" width="9" style="363" bestFit="1"/>
    <col min="13511" max="13511" width="1.19921875" style="363" customWidth="1"/>
    <col min="13512" max="13512" width="70.59765625" style="363" customWidth="1"/>
    <col min="13513" max="13517" width="10.59765625" style="363" customWidth="1"/>
    <col min="13518" max="13766" width="9" style="363" bestFit="1"/>
    <col min="13767" max="13767" width="1.19921875" style="363" customWidth="1"/>
    <col min="13768" max="13768" width="70.59765625" style="363" customWidth="1"/>
    <col min="13769" max="13773" width="10.59765625" style="363" customWidth="1"/>
    <col min="13774" max="14022" width="9" style="363" bestFit="1"/>
    <col min="14023" max="14023" width="1.19921875" style="363" customWidth="1"/>
    <col min="14024" max="14024" width="70.59765625" style="363" customWidth="1"/>
    <col min="14025" max="14029" width="10.59765625" style="363" customWidth="1"/>
    <col min="14030" max="14278" width="9" style="363" bestFit="1"/>
    <col min="14279" max="14279" width="1.19921875" style="363" customWidth="1"/>
    <col min="14280" max="14280" width="70.59765625" style="363" customWidth="1"/>
    <col min="14281" max="14285" width="10.59765625" style="363" customWidth="1"/>
    <col min="14286" max="14534" width="9" style="363" bestFit="1"/>
    <col min="14535" max="14535" width="1.19921875" style="363" customWidth="1"/>
    <col min="14536" max="14536" width="70.59765625" style="363" customWidth="1"/>
    <col min="14537" max="14541" width="10.59765625" style="363" customWidth="1"/>
    <col min="14542" max="14790" width="9" style="363" bestFit="1"/>
    <col min="14791" max="14791" width="1.19921875" style="363" customWidth="1"/>
    <col min="14792" max="14792" width="70.59765625" style="363" customWidth="1"/>
    <col min="14793" max="14797" width="10.59765625" style="363" customWidth="1"/>
    <col min="14798" max="15046" width="9" style="363" bestFit="1"/>
    <col min="15047" max="15047" width="1.19921875" style="363" customWidth="1"/>
    <col min="15048" max="15048" width="70.59765625" style="363" customWidth="1"/>
    <col min="15049" max="15053" width="10.59765625" style="363" customWidth="1"/>
    <col min="15054" max="15302" width="9" style="363" bestFit="1"/>
    <col min="15303" max="15303" width="1.19921875" style="363" customWidth="1"/>
    <col min="15304" max="15304" width="70.59765625" style="363" customWidth="1"/>
    <col min="15305" max="15309" width="10.59765625" style="363" customWidth="1"/>
    <col min="15310" max="15558" width="9" style="363" bestFit="1"/>
    <col min="15559" max="15559" width="1.19921875" style="363" customWidth="1"/>
    <col min="15560" max="15560" width="70.59765625" style="363" customWidth="1"/>
    <col min="15561" max="15565" width="10.59765625" style="363" customWidth="1"/>
    <col min="15566" max="16384" width="9" style="363"/>
  </cols>
  <sheetData>
    <row r="1" spans="1:17" ht="13.8" x14ac:dyDescent="0.25">
      <c r="A1" s="11" t="s">
        <v>27</v>
      </c>
      <c r="B1" s="61"/>
      <c r="C1" s="61"/>
      <c r="D1" s="37"/>
      <c r="E1" s="1"/>
      <c r="F1" s="1"/>
      <c r="G1" s="37"/>
      <c r="H1" s="1"/>
      <c r="I1" s="1"/>
      <c r="J1" s="1"/>
      <c r="K1" s="1"/>
      <c r="L1" s="1"/>
      <c r="M1" s="1"/>
      <c r="N1" s="1"/>
      <c r="O1" s="1"/>
      <c r="P1" s="1"/>
      <c r="Q1" s="1"/>
    </row>
    <row r="2" spans="1:17" x14ac:dyDescent="0.25">
      <c r="A2" s="61"/>
      <c r="B2" s="61"/>
      <c r="C2" s="61"/>
      <c r="D2" s="1"/>
      <c r="E2" s="1"/>
      <c r="F2" s="1"/>
      <c r="G2" s="1"/>
      <c r="H2" s="1"/>
      <c r="I2" s="1"/>
      <c r="J2" s="1"/>
      <c r="K2" s="1"/>
      <c r="L2" s="1"/>
      <c r="M2" s="1"/>
      <c r="N2" s="1"/>
      <c r="O2" s="1"/>
      <c r="P2" s="1"/>
      <c r="Q2" s="1"/>
    </row>
    <row r="3" spans="1:17" ht="33" customHeight="1" x14ac:dyDescent="0.25">
      <c r="A3" s="679" t="s">
        <v>858</v>
      </c>
      <c r="B3" s="679"/>
      <c r="C3" s="679"/>
      <c r="D3" s="1"/>
      <c r="E3" s="1"/>
      <c r="F3" s="1"/>
      <c r="G3" s="1"/>
      <c r="H3" s="1"/>
      <c r="I3" s="1"/>
      <c r="J3" s="1"/>
      <c r="K3" s="1"/>
      <c r="L3" s="1"/>
      <c r="M3" s="1"/>
      <c r="N3" s="1"/>
      <c r="O3" s="1"/>
      <c r="P3" s="1"/>
      <c r="Q3" s="1"/>
    </row>
    <row r="4" spans="1:17" ht="13.5" customHeight="1" x14ac:dyDescent="0.25">
      <c r="A4" s="11"/>
      <c r="B4" s="11"/>
      <c r="C4" s="1"/>
      <c r="D4" s="1"/>
      <c r="E4" s="1"/>
      <c r="F4" s="1"/>
      <c r="G4" s="1"/>
      <c r="H4" s="1"/>
      <c r="I4" s="1"/>
      <c r="J4" s="1"/>
      <c r="K4" s="1"/>
      <c r="L4" s="1"/>
      <c r="M4" s="1"/>
      <c r="N4" s="1"/>
      <c r="O4" s="1"/>
      <c r="P4" s="1"/>
      <c r="Q4" s="1"/>
    </row>
    <row r="5" spans="1:17" ht="78.75" customHeight="1" x14ac:dyDescent="0.25">
      <c r="A5" s="673" t="s">
        <v>859</v>
      </c>
      <c r="B5" s="673"/>
      <c r="C5" s="673"/>
      <c r="D5" s="673"/>
      <c r="E5" s="673"/>
      <c r="F5" s="673"/>
      <c r="G5" s="673"/>
      <c r="H5" s="1"/>
      <c r="I5" s="1"/>
      <c r="J5" s="1"/>
      <c r="K5" s="1"/>
      <c r="L5" s="1"/>
      <c r="M5" s="1"/>
      <c r="N5" s="1"/>
      <c r="O5" s="1"/>
      <c r="P5" s="1"/>
      <c r="Q5" s="1"/>
    </row>
    <row r="6" spans="1:17" ht="155.25" customHeight="1" x14ac:dyDescent="0.25">
      <c r="A6" s="673" t="s">
        <v>112</v>
      </c>
      <c r="B6" s="673"/>
      <c r="C6" s="673"/>
      <c r="D6" s="673"/>
      <c r="E6" s="673"/>
      <c r="F6" s="673"/>
      <c r="G6" s="673"/>
      <c r="H6" s="1"/>
      <c r="I6" s="1"/>
      <c r="J6" s="1"/>
      <c r="K6" s="1"/>
      <c r="L6" s="1"/>
      <c r="M6" s="1"/>
      <c r="N6" s="1"/>
      <c r="O6" s="1"/>
      <c r="P6" s="1"/>
      <c r="Q6" s="1"/>
    </row>
    <row r="7" spans="1:17" ht="15" customHeight="1" thickBot="1" x14ac:dyDescent="0.3">
      <c r="A7" s="83"/>
      <c r="B7" s="83"/>
      <c r="C7" s="83"/>
      <c r="D7" s="83"/>
      <c r="E7" s="1"/>
      <c r="F7" s="1"/>
      <c r="G7" s="1"/>
      <c r="H7" s="1"/>
      <c r="I7" s="1"/>
      <c r="J7" s="1"/>
      <c r="K7" s="1"/>
      <c r="L7" s="1"/>
      <c r="M7" s="1"/>
      <c r="N7" s="1"/>
      <c r="O7" s="1"/>
      <c r="P7" s="1"/>
      <c r="Q7" s="1"/>
    </row>
    <row r="8" spans="1:17" ht="40.5" customHeight="1" thickBot="1" x14ac:dyDescent="0.3">
      <c r="A8" s="96"/>
      <c r="B8" s="119" t="s">
        <v>640</v>
      </c>
      <c r="C8" s="119" t="s">
        <v>96</v>
      </c>
      <c r="D8" s="119" t="s">
        <v>97</v>
      </c>
      <c r="E8" s="119" t="s">
        <v>113</v>
      </c>
      <c r="F8" s="119" t="s">
        <v>114</v>
      </c>
      <c r="G8" s="1"/>
      <c r="H8" s="1"/>
      <c r="I8" s="1"/>
      <c r="J8" s="1"/>
      <c r="K8" s="1"/>
      <c r="L8" s="1"/>
      <c r="M8" s="1"/>
      <c r="N8" s="38"/>
      <c r="O8" s="1"/>
      <c r="P8" s="1"/>
      <c r="Q8" s="1"/>
    </row>
    <row r="9" spans="1:17" x14ac:dyDescent="0.25">
      <c r="A9" s="352"/>
      <c r="B9" s="63"/>
      <c r="C9" s="1"/>
      <c r="D9" s="1"/>
      <c r="E9" s="1"/>
      <c r="F9" s="1"/>
      <c r="G9" s="1"/>
      <c r="H9" s="1"/>
      <c r="I9" s="1"/>
      <c r="J9" s="1"/>
      <c r="K9" s="1"/>
      <c r="L9" s="1"/>
      <c r="M9" s="1"/>
      <c r="N9" s="38"/>
      <c r="O9" s="1"/>
      <c r="P9" s="1"/>
      <c r="Q9" s="1"/>
    </row>
    <row r="10" spans="1:17" ht="15" customHeight="1" x14ac:dyDescent="0.25">
      <c r="A10" s="8" t="s">
        <v>98</v>
      </c>
      <c r="B10" s="509" t="s">
        <v>944</v>
      </c>
      <c r="C10" s="53"/>
      <c r="D10" s="102"/>
      <c r="E10" s="649"/>
      <c r="F10" s="649"/>
      <c r="G10" s="1"/>
      <c r="H10" s="1"/>
      <c r="I10" s="1"/>
      <c r="J10" s="1"/>
      <c r="K10" s="1"/>
      <c r="L10" s="1"/>
      <c r="M10" s="1"/>
      <c r="N10" s="38"/>
      <c r="O10" s="1"/>
      <c r="P10" s="1"/>
      <c r="Q10" s="1"/>
    </row>
    <row r="11" spans="1:17" ht="15" customHeight="1" x14ac:dyDescent="0.25">
      <c r="A11" s="352"/>
      <c r="B11" s="323"/>
      <c r="C11" s="39"/>
      <c r="D11" s="39"/>
      <c r="E11" s="540"/>
      <c r="F11" s="540"/>
      <c r="G11" s="1"/>
      <c r="H11" s="1"/>
      <c r="I11" s="1"/>
      <c r="J11" s="54"/>
      <c r="K11" s="54"/>
      <c r="L11" s="54"/>
      <c r="M11" s="1"/>
      <c r="N11" s="38"/>
      <c r="O11" s="1"/>
      <c r="P11" s="1"/>
      <c r="Q11" s="1"/>
    </row>
    <row r="12" spans="1:17" ht="15" customHeight="1" x14ac:dyDescent="0.25">
      <c r="A12" s="8" t="s">
        <v>115</v>
      </c>
      <c r="B12" s="511" t="s">
        <v>945</v>
      </c>
      <c r="C12" s="53"/>
      <c r="D12" s="102"/>
      <c r="E12" s="649"/>
      <c r="F12" s="649"/>
      <c r="G12" s="1"/>
      <c r="H12" s="1"/>
      <c r="I12" s="1"/>
      <c r="J12" s="54"/>
      <c r="K12" s="54"/>
      <c r="L12" s="54"/>
      <c r="M12" s="1"/>
      <c r="N12" s="38"/>
      <c r="O12" s="1"/>
      <c r="P12" s="1"/>
      <c r="Q12" s="1"/>
    </row>
    <row r="13" spans="1:17" ht="15" customHeight="1" x14ac:dyDescent="0.25">
      <c r="A13" s="352"/>
      <c r="B13" s="537"/>
      <c r="C13" s="39"/>
      <c r="D13" s="86"/>
      <c r="E13" s="86"/>
      <c r="F13" s="86"/>
      <c r="G13" s="1"/>
      <c r="H13" s="1"/>
      <c r="I13" s="1"/>
      <c r="J13" s="54"/>
      <c r="K13" s="54"/>
      <c r="L13" s="54"/>
      <c r="M13" s="1"/>
      <c r="N13" s="38"/>
      <c r="O13" s="1"/>
      <c r="P13" s="1"/>
      <c r="Q13" s="1"/>
    </row>
    <row r="14" spans="1:17" ht="15" customHeight="1" x14ac:dyDescent="0.25">
      <c r="A14" s="8" t="s">
        <v>116</v>
      </c>
      <c r="C14" s="39"/>
      <c r="D14" s="86"/>
      <c r="E14" s="86"/>
      <c r="F14" s="86"/>
      <c r="G14" s="1"/>
      <c r="H14" s="1"/>
      <c r="I14" s="1"/>
      <c r="J14" s="54"/>
      <c r="K14" s="54"/>
      <c r="L14" s="54"/>
      <c r="M14" s="1"/>
      <c r="N14" s="38"/>
      <c r="O14" s="1"/>
      <c r="P14" s="66"/>
      <c r="Q14" s="38"/>
    </row>
    <row r="15" spans="1:17" ht="15" customHeight="1" x14ac:dyDescent="0.25">
      <c r="A15" s="120" t="s">
        <v>117</v>
      </c>
      <c r="B15" s="511" t="s">
        <v>946</v>
      </c>
      <c r="C15" s="53"/>
      <c r="D15" s="102"/>
      <c r="E15" s="102"/>
      <c r="F15" s="102"/>
      <c r="G15" s="1"/>
      <c r="H15" s="1"/>
      <c r="I15" s="1"/>
      <c r="J15" s="54"/>
      <c r="K15" s="54"/>
      <c r="L15" s="54"/>
      <c r="M15" s="1"/>
      <c r="N15" s="38"/>
      <c r="O15" s="1"/>
      <c r="P15" s="68"/>
      <c r="Q15" s="38"/>
    </row>
    <row r="16" spans="1:17" ht="15" customHeight="1" x14ac:dyDescent="0.25">
      <c r="A16" s="121" t="s">
        <v>118</v>
      </c>
      <c r="B16" s="50"/>
      <c r="C16" s="47"/>
      <c r="D16" s="86"/>
      <c r="E16" s="86"/>
      <c r="F16" s="86"/>
      <c r="G16" s="1"/>
      <c r="H16" s="1"/>
      <c r="I16" s="1"/>
      <c r="J16" s="54"/>
      <c r="K16" s="54"/>
      <c r="L16" s="54"/>
      <c r="M16" s="1"/>
      <c r="N16" s="38"/>
      <c r="O16" s="1"/>
      <c r="P16" s="68"/>
      <c r="Q16" s="38"/>
    </row>
    <row r="17" spans="1:17" ht="15" customHeight="1" x14ac:dyDescent="0.25">
      <c r="A17" s="121" t="s">
        <v>119</v>
      </c>
      <c r="B17" s="50"/>
      <c r="C17" s="47"/>
      <c r="D17" s="86"/>
      <c r="E17" s="86"/>
      <c r="F17" s="86"/>
      <c r="G17" s="1"/>
      <c r="H17" s="1"/>
      <c r="I17" s="1"/>
      <c r="J17" s="54"/>
      <c r="K17" s="54"/>
      <c r="L17" s="54"/>
      <c r="M17" s="1"/>
      <c r="N17" s="38"/>
      <c r="O17" s="1"/>
      <c r="P17" s="68"/>
      <c r="Q17" s="38"/>
    </row>
    <row r="18" spans="1:17" ht="15" customHeight="1" x14ac:dyDescent="0.25">
      <c r="A18" s="121" t="s">
        <v>120</v>
      </c>
      <c r="B18" s="50"/>
      <c r="C18" s="47"/>
      <c r="D18" s="324"/>
      <c r="E18" s="86"/>
      <c r="F18" s="86"/>
      <c r="G18" s="1"/>
      <c r="H18" s="1"/>
      <c r="I18" s="1"/>
      <c r="J18" s="54"/>
      <c r="K18" s="54"/>
      <c r="L18" s="54"/>
      <c r="M18" s="1"/>
      <c r="N18" s="38"/>
      <c r="O18" s="1"/>
      <c r="P18" s="68"/>
      <c r="Q18" s="38"/>
    </row>
    <row r="19" spans="1:17" ht="15" customHeight="1" x14ac:dyDescent="0.25">
      <c r="A19" s="121" t="s">
        <v>121</v>
      </c>
      <c r="B19" s="89"/>
      <c r="C19" s="103"/>
      <c r="D19" s="540"/>
      <c r="E19" s="540"/>
      <c r="F19" s="540"/>
      <c r="G19" s="1"/>
      <c r="H19" s="1"/>
      <c r="I19" s="1"/>
      <c r="J19" s="54"/>
      <c r="K19" s="54"/>
      <c r="L19" s="54"/>
      <c r="M19" s="1"/>
      <c r="N19" s="38"/>
      <c r="O19" s="1"/>
      <c r="P19" s="68"/>
      <c r="Q19" s="38"/>
    </row>
    <row r="20" spans="1:17" ht="15" customHeight="1" x14ac:dyDescent="0.25">
      <c r="A20" s="121"/>
      <c r="B20" s="50"/>
      <c r="C20" s="47"/>
      <c r="D20" s="86"/>
      <c r="E20" s="86"/>
      <c r="F20" s="86"/>
      <c r="G20" s="1"/>
      <c r="H20" s="1"/>
      <c r="I20" s="1"/>
      <c r="J20" s="54"/>
      <c r="K20" s="54"/>
      <c r="L20" s="54"/>
      <c r="M20" s="1"/>
      <c r="N20" s="1"/>
      <c r="O20" s="1"/>
      <c r="P20" s="1"/>
      <c r="Q20" s="1"/>
    </row>
    <row r="21" spans="1:17" ht="15" customHeight="1" x14ac:dyDescent="0.25">
      <c r="A21" s="120" t="s">
        <v>122</v>
      </c>
      <c r="B21" s="46" t="s">
        <v>947</v>
      </c>
      <c r="C21" s="53"/>
      <c r="D21" s="102"/>
      <c r="E21" s="102"/>
      <c r="F21" s="102"/>
      <c r="G21" s="1"/>
      <c r="H21" s="1"/>
      <c r="I21" s="1"/>
      <c r="J21" s="54"/>
      <c r="K21" s="54"/>
      <c r="L21" s="54"/>
      <c r="M21" s="1"/>
      <c r="N21" s="1"/>
      <c r="O21" s="1"/>
      <c r="P21" s="1"/>
      <c r="Q21" s="1"/>
    </row>
    <row r="22" spans="1:17" ht="15" customHeight="1" x14ac:dyDescent="0.25">
      <c r="A22" s="121" t="s">
        <v>123</v>
      </c>
      <c r="B22" s="50"/>
      <c r="C22" s="47"/>
      <c r="D22" s="86"/>
      <c r="E22" s="86"/>
      <c r="F22" s="86"/>
      <c r="G22" s="1"/>
      <c r="H22" s="1"/>
      <c r="I22" s="1"/>
      <c r="J22" s="54"/>
      <c r="K22" s="54"/>
      <c r="L22" s="54"/>
      <c r="M22" s="1"/>
      <c r="N22" s="1"/>
      <c r="O22" s="1"/>
      <c r="P22" s="1"/>
      <c r="Q22" s="1"/>
    </row>
    <row r="23" spans="1:17" ht="15" customHeight="1" x14ac:dyDescent="0.25">
      <c r="A23" s="121" t="s">
        <v>124</v>
      </c>
      <c r="B23" s="50"/>
      <c r="C23" s="47"/>
      <c r="D23" s="86"/>
      <c r="E23" s="86"/>
      <c r="F23" s="86"/>
      <c r="G23" s="1"/>
      <c r="H23" s="38"/>
      <c r="I23" s="38"/>
      <c r="J23" s="54"/>
      <c r="K23" s="54"/>
      <c r="L23" s="54"/>
      <c r="M23" s="1"/>
      <c r="N23" s="38"/>
      <c r="O23" s="1"/>
      <c r="P23" s="68"/>
      <c r="Q23" s="38"/>
    </row>
    <row r="24" spans="1:17" ht="15" customHeight="1" x14ac:dyDescent="0.25">
      <c r="A24" s="121" t="s">
        <v>125</v>
      </c>
      <c r="B24" s="50"/>
      <c r="C24" s="47"/>
      <c r="D24" s="86"/>
      <c r="E24" s="86"/>
      <c r="F24" s="86"/>
      <c r="G24" s="1"/>
      <c r="H24" s="1"/>
      <c r="I24" s="1"/>
      <c r="J24" s="54"/>
      <c r="K24" s="54"/>
      <c r="L24" s="54"/>
      <c r="M24" s="1"/>
      <c r="N24" s="38"/>
      <c r="O24" s="1"/>
      <c r="P24" s="1"/>
      <c r="Q24" s="1"/>
    </row>
    <row r="25" spans="1:17" ht="15" customHeight="1" x14ac:dyDescent="0.25">
      <c r="A25" s="121" t="s">
        <v>126</v>
      </c>
      <c r="B25" s="50"/>
      <c r="C25" s="47"/>
      <c r="D25" s="86"/>
      <c r="E25" s="86"/>
      <c r="F25" s="86"/>
      <c r="G25" s="1"/>
      <c r="H25" s="66"/>
      <c r="I25" s="66"/>
      <c r="J25" s="54"/>
      <c r="K25" s="205"/>
      <c r="L25" s="54"/>
      <c r="M25" s="1"/>
      <c r="N25" s="38"/>
      <c r="O25" s="1"/>
      <c r="P25" s="1"/>
      <c r="Q25" s="1"/>
    </row>
    <row r="26" spans="1:17" ht="15" customHeight="1" x14ac:dyDescent="0.25">
      <c r="A26" s="121"/>
      <c r="B26" s="50"/>
      <c r="C26" s="47"/>
      <c r="D26" s="86"/>
      <c r="E26" s="86"/>
      <c r="F26" s="86"/>
      <c r="G26" s="1"/>
      <c r="H26" s="38"/>
      <c r="I26" s="38"/>
      <c r="J26" s="54"/>
      <c r="K26" s="54"/>
      <c r="L26" s="54"/>
      <c r="M26" s="1"/>
      <c r="N26" s="38"/>
      <c r="O26" s="1"/>
      <c r="P26" s="1"/>
      <c r="Q26" s="1"/>
    </row>
    <row r="27" spans="1:17" ht="15" customHeight="1" x14ac:dyDescent="0.25">
      <c r="A27" s="120" t="s">
        <v>127</v>
      </c>
      <c r="B27" s="46" t="s">
        <v>948</v>
      </c>
      <c r="C27" s="53"/>
      <c r="D27" s="102"/>
      <c r="E27" s="102"/>
      <c r="F27" s="102"/>
      <c r="G27" s="1"/>
      <c r="H27" s="1"/>
      <c r="I27" s="1"/>
      <c r="J27" s="54"/>
      <c r="K27" s="54"/>
      <c r="L27" s="54"/>
      <c r="M27" s="1"/>
      <c r="N27" s="1"/>
      <c r="O27" s="1"/>
      <c r="P27" s="1"/>
      <c r="Q27" s="1"/>
    </row>
    <row r="28" spans="1:17" ht="15" customHeight="1" x14ac:dyDescent="0.25">
      <c r="A28" s="121" t="s">
        <v>128</v>
      </c>
      <c r="B28" s="50"/>
      <c r="C28" s="47"/>
      <c r="D28" s="86"/>
      <c r="E28" s="86"/>
      <c r="F28" s="86"/>
      <c r="G28" s="1"/>
      <c r="H28" s="1"/>
      <c r="I28" s="1"/>
      <c r="J28" s="54"/>
      <c r="K28" s="54"/>
      <c r="L28" s="54"/>
      <c r="M28" s="1"/>
      <c r="N28" s="1"/>
      <c r="O28" s="1"/>
      <c r="P28" s="1"/>
      <c r="Q28" s="1"/>
    </row>
    <row r="29" spans="1:17" ht="15" customHeight="1" x14ac:dyDescent="0.25">
      <c r="A29" s="121" t="s">
        <v>129</v>
      </c>
      <c r="B29" s="50"/>
      <c r="C29" s="47"/>
      <c r="D29" s="86"/>
      <c r="E29" s="86"/>
      <c r="F29" s="86"/>
      <c r="G29" s="1"/>
      <c r="H29" s="1"/>
      <c r="I29" s="1"/>
      <c r="J29" s="54"/>
      <c r="K29" s="54"/>
      <c r="L29" s="54"/>
      <c r="M29" s="1"/>
      <c r="N29" s="1"/>
      <c r="O29" s="1"/>
      <c r="P29" s="1"/>
      <c r="Q29" s="1"/>
    </row>
    <row r="30" spans="1:17" ht="15" customHeight="1" x14ac:dyDescent="0.25">
      <c r="A30" s="121" t="s">
        <v>130</v>
      </c>
      <c r="B30" s="50"/>
      <c r="C30" s="47"/>
      <c r="D30" s="86"/>
      <c r="E30" s="86"/>
      <c r="F30" s="86"/>
      <c r="G30" s="1"/>
      <c r="H30" s="1"/>
      <c r="I30" s="1"/>
      <c r="J30" s="54"/>
      <c r="K30" s="54"/>
      <c r="L30" s="54"/>
      <c r="M30" s="1"/>
      <c r="N30" s="1"/>
      <c r="O30" s="1"/>
      <c r="P30" s="1"/>
      <c r="Q30" s="1"/>
    </row>
    <row r="31" spans="1:17" ht="15" customHeight="1" x14ac:dyDescent="0.25">
      <c r="A31" s="121" t="s">
        <v>131</v>
      </c>
      <c r="B31" s="50"/>
      <c r="C31" s="47"/>
      <c r="D31" s="324"/>
      <c r="E31" s="86"/>
      <c r="F31" s="86"/>
      <c r="G31" s="1"/>
      <c r="H31" s="1"/>
      <c r="I31" s="1"/>
      <c r="J31" s="54"/>
      <c r="K31" s="54"/>
      <c r="L31" s="54"/>
      <c r="M31" s="1"/>
      <c r="N31" s="1"/>
      <c r="O31" s="1"/>
      <c r="P31" s="1"/>
      <c r="Q31" s="1"/>
    </row>
    <row r="32" spans="1:17" ht="15" customHeight="1" x14ac:dyDescent="0.25">
      <c r="A32" s="121"/>
      <c r="B32" s="50"/>
      <c r="C32" s="47"/>
      <c r="D32" s="86"/>
      <c r="E32" s="86"/>
      <c r="F32" s="86"/>
      <c r="G32" s="1"/>
      <c r="H32" s="1"/>
      <c r="I32" s="1"/>
      <c r="J32" s="54"/>
      <c r="K32" s="54"/>
      <c r="L32" s="54"/>
      <c r="M32" s="1"/>
      <c r="N32" s="1"/>
      <c r="O32" s="1"/>
      <c r="P32" s="1"/>
      <c r="Q32" s="1"/>
    </row>
    <row r="33" spans="1:14" ht="15" customHeight="1" x14ac:dyDescent="0.25">
      <c r="A33" s="120" t="s">
        <v>132</v>
      </c>
      <c r="B33" s="46" t="s">
        <v>949</v>
      </c>
      <c r="C33" s="53"/>
      <c r="D33" s="102"/>
      <c r="E33" s="102"/>
      <c r="F33" s="102"/>
      <c r="G33" s="1"/>
      <c r="H33" s="1"/>
      <c r="I33" s="1"/>
      <c r="J33" s="54"/>
      <c r="K33" s="54"/>
      <c r="L33" s="54"/>
      <c r="M33" s="1"/>
      <c r="N33" s="1"/>
    </row>
    <row r="34" spans="1:14" ht="15" customHeight="1" x14ac:dyDescent="0.25">
      <c r="A34" s="121" t="s">
        <v>133</v>
      </c>
      <c r="B34" s="50"/>
      <c r="C34" s="47"/>
      <c r="D34" s="86"/>
      <c r="E34" s="86"/>
      <c r="F34" s="86"/>
      <c r="G34" s="1"/>
      <c r="H34" s="1"/>
      <c r="I34" s="1"/>
      <c r="J34" s="60"/>
      <c r="K34" s="38"/>
      <c r="L34" s="74"/>
      <c r="M34" s="74"/>
      <c r="N34" s="73"/>
    </row>
    <row r="35" spans="1:14" ht="15" customHeight="1" x14ac:dyDescent="0.25">
      <c r="A35" s="121" t="s">
        <v>134</v>
      </c>
      <c r="B35" s="50"/>
      <c r="C35" s="47"/>
      <c r="D35" s="86"/>
      <c r="E35" s="86"/>
      <c r="F35" s="86"/>
      <c r="G35" s="1"/>
      <c r="H35" s="1"/>
      <c r="I35" s="1"/>
      <c r="J35" s="60"/>
      <c r="K35" s="38"/>
      <c r="L35" s="74"/>
      <c r="M35" s="74"/>
      <c r="N35" s="73"/>
    </row>
    <row r="36" spans="1:14" ht="15" customHeight="1" x14ac:dyDescent="0.25">
      <c r="A36" s="121" t="s">
        <v>135</v>
      </c>
      <c r="B36" s="50"/>
      <c r="C36" s="47"/>
      <c r="D36" s="86"/>
      <c r="E36" s="86"/>
      <c r="F36" s="86"/>
      <c r="G36" s="1"/>
      <c r="H36" s="1"/>
      <c r="I36" s="1"/>
      <c r="J36" s="1"/>
      <c r="K36" s="60"/>
      <c r="L36" s="1"/>
      <c r="M36" s="1"/>
      <c r="N36" s="1"/>
    </row>
    <row r="37" spans="1:14" ht="15" customHeight="1" x14ac:dyDescent="0.25">
      <c r="A37" s="121"/>
      <c r="B37" s="50"/>
      <c r="C37" s="47"/>
      <c r="D37" s="86"/>
      <c r="E37" s="86"/>
      <c r="F37" s="86"/>
      <c r="G37" s="1"/>
      <c r="H37" s="1"/>
      <c r="I37" s="1"/>
      <c r="J37" s="1"/>
      <c r="K37" s="60"/>
      <c r="L37" s="1"/>
      <c r="M37" s="1"/>
      <c r="N37" s="1"/>
    </row>
    <row r="38" spans="1:14" ht="15" customHeight="1" x14ac:dyDescent="0.25">
      <c r="A38" s="120" t="s">
        <v>136</v>
      </c>
      <c r="B38" s="46" t="s">
        <v>950</v>
      </c>
      <c r="C38" s="53"/>
      <c r="D38" s="102"/>
      <c r="E38" s="102"/>
      <c r="F38" s="102"/>
      <c r="G38" s="1"/>
      <c r="H38" s="1"/>
      <c r="I38" s="1"/>
      <c r="J38" s="1"/>
      <c r="K38" s="38"/>
      <c r="L38" s="38"/>
      <c r="M38" s="1"/>
      <c r="N38" s="73"/>
    </row>
    <row r="39" spans="1:14" ht="15" customHeight="1" x14ac:dyDescent="0.25">
      <c r="A39" s="121" t="s">
        <v>137</v>
      </c>
      <c r="B39" s="50"/>
      <c r="C39" s="47"/>
      <c r="D39" s="86"/>
      <c r="E39" s="86"/>
      <c r="F39" s="86"/>
      <c r="G39" s="1"/>
      <c r="H39" s="1"/>
      <c r="I39" s="1"/>
      <c r="J39" s="1"/>
      <c r="K39" s="38"/>
      <c r="L39" s="38"/>
      <c r="M39" s="1"/>
      <c r="N39" s="60"/>
    </row>
    <row r="40" spans="1:14" ht="15" customHeight="1" x14ac:dyDescent="0.25">
      <c r="A40" s="121" t="s">
        <v>138</v>
      </c>
      <c r="B40" s="50"/>
      <c r="C40" s="47"/>
      <c r="D40" s="86"/>
      <c r="E40" s="86"/>
      <c r="F40" s="86"/>
      <c r="G40" s="133"/>
      <c r="H40" s="1"/>
      <c r="I40" s="1"/>
      <c r="J40" s="1"/>
      <c r="K40" s="38"/>
      <c r="L40" s="38"/>
      <c r="M40" s="74"/>
      <c r="N40" s="73"/>
    </row>
    <row r="41" spans="1:14" ht="15" customHeight="1" x14ac:dyDescent="0.25">
      <c r="A41" s="121" t="s">
        <v>139</v>
      </c>
      <c r="B41" s="89"/>
      <c r="C41" s="103"/>
      <c r="D41" s="540"/>
      <c r="E41" s="647"/>
      <c r="F41" s="647"/>
      <c r="G41" s="133"/>
      <c r="H41" s="1"/>
      <c r="I41" s="1"/>
      <c r="J41" s="1"/>
      <c r="K41" s="38"/>
      <c r="L41" s="38"/>
      <c r="M41" s="74"/>
      <c r="N41" s="73"/>
    </row>
    <row r="42" spans="1:14" ht="13.8" thickBot="1" x14ac:dyDescent="0.3">
      <c r="A42" s="95"/>
      <c r="B42" s="97"/>
      <c r="C42" s="83"/>
      <c r="D42" s="83"/>
      <c r="E42" s="83"/>
      <c r="F42" s="83"/>
      <c r="G42" s="1"/>
      <c r="H42" s="1"/>
      <c r="I42" s="38"/>
      <c r="J42" s="38"/>
      <c r="K42" s="38"/>
      <c r="L42" s="1"/>
      <c r="M42" s="1"/>
      <c r="N42" s="1"/>
    </row>
    <row r="43" spans="1:14" x14ac:dyDescent="0.25">
      <c r="A43" s="8"/>
      <c r="B43" s="94"/>
      <c r="C43" s="1"/>
      <c r="D43" s="1"/>
      <c r="E43" s="1"/>
      <c r="F43" s="1"/>
      <c r="G43" s="1"/>
      <c r="H43" s="1"/>
      <c r="I43" s="1"/>
      <c r="J43" s="38"/>
      <c r="K43" s="38"/>
      <c r="L43" s="38"/>
      <c r="M43" s="1"/>
      <c r="N43" s="1"/>
    </row>
    <row r="44" spans="1:14" x14ac:dyDescent="0.25">
      <c r="A44" s="352" t="s">
        <v>826</v>
      </c>
      <c r="B44" s="8"/>
      <c r="C44" s="1"/>
      <c r="D44" s="1"/>
      <c r="E44" s="1"/>
      <c r="F44" s="1"/>
      <c r="G44" s="1"/>
      <c r="H44" s="1"/>
      <c r="I44" s="1"/>
      <c r="J44" s="1"/>
      <c r="K44" s="1"/>
      <c r="L44" s="38"/>
      <c r="M44" s="38"/>
      <c r="N44" s="38"/>
    </row>
    <row r="45" spans="1:14" ht="8.25" customHeight="1" x14ac:dyDescent="0.25">
      <c r="A45" s="8"/>
      <c r="B45" s="8"/>
      <c r="C45" s="1"/>
      <c r="D45" s="1"/>
      <c r="E45" s="1"/>
      <c r="F45" s="1"/>
      <c r="G45" s="1"/>
      <c r="H45" s="1"/>
      <c r="I45" s="1"/>
      <c r="J45" s="1"/>
      <c r="K45" s="1"/>
      <c r="L45" s="38"/>
      <c r="M45" s="38"/>
      <c r="N45" s="38"/>
    </row>
    <row r="46" spans="1:14" ht="91.5" customHeight="1" x14ac:dyDescent="0.25">
      <c r="A46" s="677" t="s">
        <v>641</v>
      </c>
      <c r="B46" s="677"/>
      <c r="C46" s="677"/>
      <c r="D46" s="677"/>
      <c r="E46" s="677"/>
      <c r="F46" s="677"/>
      <c r="G46" s="677"/>
      <c r="H46" s="1"/>
      <c r="I46" s="1"/>
      <c r="J46" s="1"/>
      <c r="K46" s="1"/>
      <c r="L46" s="38"/>
      <c r="M46" s="38"/>
      <c r="N46" s="38"/>
    </row>
    <row r="47" spans="1:14" x14ac:dyDescent="0.25">
      <c r="A47" s="352"/>
      <c r="B47" s="352"/>
      <c r="C47" s="1"/>
      <c r="D47" s="1"/>
      <c r="E47" s="1"/>
      <c r="F47" s="1"/>
      <c r="G47" s="1"/>
      <c r="H47" s="1"/>
      <c r="I47" s="1"/>
      <c r="J47" s="1"/>
      <c r="K47" s="1"/>
      <c r="L47" s="38"/>
      <c r="M47" s="38"/>
      <c r="N47" s="38"/>
    </row>
    <row r="48" spans="1:14" ht="33" customHeight="1" x14ac:dyDescent="0.25">
      <c r="A48" s="674" t="s">
        <v>93</v>
      </c>
      <c r="B48" s="674"/>
      <c r="C48" s="674"/>
      <c r="D48" s="674"/>
      <c r="E48" s="674"/>
      <c r="F48" s="674"/>
      <c r="G48" s="674"/>
      <c r="H48" s="1"/>
      <c r="I48" s="1"/>
      <c r="J48" s="37"/>
      <c r="K48" s="1"/>
      <c r="L48" s="38"/>
      <c r="M48" s="38"/>
      <c r="N48" s="38"/>
    </row>
    <row r="49" spans="1:14" ht="30" customHeight="1" x14ac:dyDescent="0.25">
      <c r="A49" s="673" t="s">
        <v>94</v>
      </c>
      <c r="B49" s="673"/>
      <c r="C49" s="673"/>
      <c r="D49" s="673"/>
      <c r="E49" s="673"/>
      <c r="F49" s="673"/>
      <c r="G49" s="673"/>
      <c r="H49" s="1"/>
      <c r="I49" s="1"/>
      <c r="J49" s="1"/>
      <c r="K49" s="1"/>
      <c r="L49" s="38"/>
      <c r="M49" s="38"/>
      <c r="N49" s="38"/>
    </row>
  </sheetData>
  <mergeCells count="6">
    <mergeCell ref="A49:G49"/>
    <mergeCell ref="A3:C3"/>
    <mergeCell ref="A5:G5"/>
    <mergeCell ref="A6:G6"/>
    <mergeCell ref="A46:G46"/>
    <mergeCell ref="A48:G48"/>
  </mergeCells>
  <pageMargins left="0.23622047244094491" right="0.23622047244094491" top="0.74803149606299213" bottom="0.74803149606299213" header="0.31496062992125984" footer="0.31496062992125984"/>
  <pageSetup paperSize="9" scale="44" fitToHeight="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129"/>
  <sheetViews>
    <sheetView showGridLines="0" zoomScaleNormal="100" workbookViewId="0">
      <selection activeCell="B1" sqref="B1"/>
    </sheetView>
  </sheetViews>
  <sheetFormatPr defaultColWidth="7.796875" defaultRowHeight="13.8" x14ac:dyDescent="0.25"/>
  <cols>
    <col min="1" max="1" width="1.59765625" style="441" customWidth="1"/>
    <col min="2" max="2" width="120" style="441" customWidth="1"/>
    <col min="3" max="3" width="10.296875" style="441" customWidth="1"/>
    <col min="4" max="4" width="2.19921875" style="441" customWidth="1"/>
    <col min="5" max="5" width="8.59765625" style="441" customWidth="1"/>
    <col min="6" max="6" width="2.19921875" style="441" customWidth="1"/>
    <col min="7" max="8" width="9.59765625" style="441" bestFit="1" customWidth="1"/>
    <col min="9" max="10" width="9.59765625" style="441" customWidth="1"/>
    <col min="11" max="11" width="11.59765625" style="441" customWidth="1"/>
    <col min="12" max="12" width="9.296875" style="441" customWidth="1"/>
    <col min="13" max="13" width="2.19921875" style="441" customWidth="1"/>
    <col min="14" max="15" width="7.796875" style="441" bestFit="1" customWidth="1"/>
    <col min="16" max="19" width="9.59765625" style="441" bestFit="1" customWidth="1"/>
    <col min="20" max="20" width="9.19921875" style="441" customWidth="1"/>
    <col min="21" max="21" width="2.19921875" style="441" customWidth="1"/>
    <col min="22" max="31" width="8.59765625" style="441" bestFit="1" customWidth="1"/>
    <col min="32" max="32" width="13.09765625" style="441" customWidth="1"/>
    <col min="33" max="33" width="2.19921875" style="441" customWidth="1"/>
    <col min="34" max="39" width="12" style="441" customWidth="1"/>
    <col min="40" max="40" width="2.19921875" style="441" customWidth="1"/>
    <col min="41" max="41" width="9.59765625" style="441" bestFit="1" customWidth="1"/>
    <col min="42" max="45" width="8.59765625" style="441" bestFit="1" customWidth="1"/>
    <col min="46" max="46" width="7.796875" style="441" bestFit="1" customWidth="1"/>
    <col min="47" max="49" width="8.59765625" style="441" bestFit="1" customWidth="1"/>
    <col min="50" max="50" width="8.296875" style="441" customWidth="1"/>
    <col min="51" max="59" width="8.59765625" style="441" bestFit="1" customWidth="1"/>
    <col min="60" max="16384" width="7.796875" style="441"/>
  </cols>
  <sheetData>
    <row r="1" spans="1:61" x14ac:dyDescent="0.25">
      <c r="B1" s="11" t="s">
        <v>700</v>
      </c>
    </row>
    <row r="3" spans="1:61" x14ac:dyDescent="0.25">
      <c r="B3" s="442" t="s">
        <v>815</v>
      </c>
    </row>
    <row r="4" spans="1:61" x14ac:dyDescent="0.25">
      <c r="B4" s="442"/>
    </row>
    <row r="5" spans="1:61" ht="96.6" customHeight="1" x14ac:dyDescent="0.25">
      <c r="B5" s="710" t="s">
        <v>860</v>
      </c>
      <c r="C5" s="710"/>
      <c r="D5" s="710"/>
      <c r="E5" s="710"/>
      <c r="F5" s="710"/>
      <c r="G5" s="710"/>
      <c r="H5" s="710"/>
      <c r="I5" s="710"/>
      <c r="J5" s="710"/>
      <c r="K5" s="710"/>
      <c r="L5" s="710"/>
      <c r="M5" s="710"/>
      <c r="N5" s="710"/>
      <c r="O5" s="710"/>
      <c r="P5" s="710"/>
      <c r="Q5" s="710"/>
    </row>
    <row r="6" spans="1:61" ht="14.4" x14ac:dyDescent="0.25">
      <c r="B6" s="444" t="s">
        <v>706</v>
      </c>
    </row>
    <row r="8" spans="1:61" ht="14.4" thickBot="1" x14ac:dyDescent="0.3">
      <c r="B8" s="445"/>
      <c r="C8" s="445"/>
      <c r="D8" s="445"/>
      <c r="E8" s="445"/>
      <c r="F8" s="445"/>
      <c r="G8" s="445"/>
      <c r="H8" s="445"/>
      <c r="I8" s="445"/>
      <c r="J8" s="445"/>
      <c r="K8" s="445"/>
      <c r="L8" s="445"/>
      <c r="M8" s="445"/>
      <c r="N8" s="445"/>
      <c r="O8" s="445"/>
      <c r="P8" s="445"/>
      <c r="Q8" s="445"/>
      <c r="R8" s="445"/>
      <c r="S8" s="445"/>
      <c r="T8" s="445"/>
      <c r="U8" s="445"/>
      <c r="V8" s="445"/>
      <c r="W8" s="445"/>
      <c r="X8" s="445"/>
      <c r="Y8" s="445"/>
      <c r="Z8" s="445"/>
      <c r="AA8" s="445"/>
      <c r="AB8" s="445"/>
      <c r="AC8" s="445"/>
      <c r="AD8" s="445"/>
      <c r="AE8" s="445"/>
      <c r="AF8" s="445"/>
      <c r="AG8" s="445"/>
      <c r="AH8" s="445"/>
      <c r="AI8" s="445"/>
      <c r="AJ8" s="445"/>
      <c r="AK8" s="445"/>
      <c r="AL8" s="445"/>
      <c r="AM8" s="445"/>
      <c r="AN8" s="445"/>
      <c r="AO8" s="445"/>
      <c r="AP8" s="445"/>
      <c r="AQ8" s="445"/>
      <c r="AR8" s="445"/>
      <c r="AS8" s="445"/>
      <c r="AT8" s="445"/>
      <c r="AU8" s="445"/>
      <c r="AV8" s="445"/>
      <c r="AW8" s="445"/>
      <c r="AX8" s="445"/>
      <c r="AY8" s="445"/>
      <c r="AZ8" s="445"/>
      <c r="BA8" s="445"/>
      <c r="BB8" s="445"/>
      <c r="BC8" s="445"/>
      <c r="BD8" s="445"/>
      <c r="BE8" s="445"/>
      <c r="BF8" s="445"/>
      <c r="BG8" s="445"/>
    </row>
    <row r="10" spans="1:61" ht="42" customHeight="1" x14ac:dyDescent="0.25">
      <c r="E10" s="446" t="s">
        <v>642</v>
      </c>
      <c r="G10" s="712" t="s">
        <v>707</v>
      </c>
      <c r="H10" s="713"/>
      <c r="I10" s="713"/>
      <c r="J10" s="713"/>
      <c r="K10" s="713"/>
      <c r="L10" s="714"/>
      <c r="N10" s="712" t="s">
        <v>708</v>
      </c>
      <c r="O10" s="713"/>
      <c r="P10" s="713"/>
      <c r="Q10" s="713"/>
      <c r="R10" s="713"/>
      <c r="S10" s="713"/>
      <c r="T10" s="714"/>
      <c r="V10" s="712" t="s">
        <v>709</v>
      </c>
      <c r="W10" s="713"/>
      <c r="X10" s="713"/>
      <c r="Y10" s="713"/>
      <c r="Z10" s="713"/>
      <c r="AA10" s="713"/>
      <c r="AB10" s="713"/>
      <c r="AC10" s="713"/>
      <c r="AD10" s="713"/>
      <c r="AE10" s="713"/>
      <c r="AF10" s="714"/>
      <c r="AH10" s="716" t="s">
        <v>710</v>
      </c>
      <c r="AI10" s="717"/>
      <c r="AJ10" s="717"/>
      <c r="AK10" s="717"/>
      <c r="AL10" s="717"/>
      <c r="AM10" s="718"/>
      <c r="AO10" s="712" t="s">
        <v>711</v>
      </c>
      <c r="AP10" s="713"/>
      <c r="AQ10" s="713"/>
      <c r="AR10" s="713"/>
      <c r="AS10" s="713"/>
      <c r="AT10" s="713"/>
      <c r="AU10" s="713"/>
      <c r="AV10" s="713"/>
      <c r="AW10" s="713"/>
      <c r="AX10" s="713"/>
      <c r="AY10" s="713"/>
      <c r="AZ10" s="713"/>
      <c r="BA10" s="713"/>
      <c r="BB10" s="713"/>
      <c r="BC10" s="713"/>
      <c r="BD10" s="713"/>
      <c r="BE10" s="713"/>
      <c r="BF10" s="713"/>
      <c r="BG10" s="714"/>
    </row>
    <row r="12" spans="1:61" ht="41.4" customHeight="1" x14ac:dyDescent="0.25">
      <c r="AO12" s="447" t="s">
        <v>117</v>
      </c>
      <c r="AP12" s="450"/>
      <c r="AQ12" s="451"/>
      <c r="AR12" s="447" t="s">
        <v>122</v>
      </c>
      <c r="AS12" s="450"/>
      <c r="AT12" s="450"/>
      <c r="AU12" s="451"/>
      <c r="AV12" s="447" t="s">
        <v>127</v>
      </c>
      <c r="AW12" s="450"/>
      <c r="AX12" s="450"/>
      <c r="AY12" s="451"/>
      <c r="AZ12" s="712" t="s">
        <v>132</v>
      </c>
      <c r="BA12" s="713"/>
      <c r="BB12" s="714"/>
      <c r="BC12" s="447" t="s">
        <v>149</v>
      </c>
      <c r="BD12" s="450"/>
      <c r="BE12" s="450"/>
      <c r="BF12" s="450"/>
      <c r="BG12" s="451"/>
    </row>
    <row r="13" spans="1:61" ht="38.549999999999997" customHeight="1" x14ac:dyDescent="0.25">
      <c r="G13" s="452" t="s">
        <v>109</v>
      </c>
      <c r="H13" s="452" t="s">
        <v>110</v>
      </c>
      <c r="I13" s="452" t="s">
        <v>984</v>
      </c>
      <c r="J13" s="452" t="s">
        <v>985</v>
      </c>
      <c r="K13" s="452" t="s">
        <v>986</v>
      </c>
      <c r="L13" s="452" t="s">
        <v>643</v>
      </c>
      <c r="N13" s="452" t="s">
        <v>101</v>
      </c>
      <c r="O13" s="452" t="s">
        <v>102</v>
      </c>
      <c r="P13" s="452" t="s">
        <v>104</v>
      </c>
      <c r="Q13" s="452" t="s">
        <v>105</v>
      </c>
      <c r="R13" s="452" t="s">
        <v>106</v>
      </c>
      <c r="S13" s="452" t="s">
        <v>107</v>
      </c>
      <c r="T13" s="452" t="s">
        <v>643</v>
      </c>
      <c r="V13" s="452" t="s">
        <v>160</v>
      </c>
      <c r="W13" s="452" t="s">
        <v>161</v>
      </c>
      <c r="X13" s="452" t="s">
        <v>162</v>
      </c>
      <c r="Y13" s="452" t="s">
        <v>163</v>
      </c>
      <c r="Z13" s="452" t="s">
        <v>164</v>
      </c>
      <c r="AA13" s="452" t="s">
        <v>165</v>
      </c>
      <c r="AB13" s="452" t="s">
        <v>166</v>
      </c>
      <c r="AC13" s="452" t="s">
        <v>167</v>
      </c>
      <c r="AD13" s="452" t="s">
        <v>168</v>
      </c>
      <c r="AE13" s="452" t="s">
        <v>169</v>
      </c>
      <c r="AF13" s="452" t="s">
        <v>170</v>
      </c>
      <c r="AH13" s="432" t="s">
        <v>117</v>
      </c>
      <c r="AI13" s="432" t="s">
        <v>122</v>
      </c>
      <c r="AJ13" s="452" t="s">
        <v>127</v>
      </c>
      <c r="AK13" s="452" t="s">
        <v>132</v>
      </c>
      <c r="AL13" s="452" t="s">
        <v>136</v>
      </c>
      <c r="AM13" s="452" t="s">
        <v>643</v>
      </c>
      <c r="AO13" s="435" t="s">
        <v>118</v>
      </c>
      <c r="AP13" s="435" t="s">
        <v>119</v>
      </c>
      <c r="AQ13" s="435" t="s">
        <v>120</v>
      </c>
      <c r="AR13" s="435" t="s">
        <v>123</v>
      </c>
      <c r="AS13" s="435" t="s">
        <v>124</v>
      </c>
      <c r="AT13" s="435" t="s">
        <v>125</v>
      </c>
      <c r="AU13" s="435" t="s">
        <v>126</v>
      </c>
      <c r="AV13" s="435" t="s">
        <v>128</v>
      </c>
      <c r="AW13" s="435" t="s">
        <v>129</v>
      </c>
      <c r="AX13" s="435" t="s">
        <v>130</v>
      </c>
      <c r="AY13" s="435" t="s">
        <v>712</v>
      </c>
      <c r="AZ13" s="435" t="s">
        <v>133</v>
      </c>
      <c r="BA13" s="435" t="s">
        <v>134</v>
      </c>
      <c r="BB13" s="435" t="s">
        <v>135</v>
      </c>
      <c r="BC13" s="435" t="s">
        <v>137</v>
      </c>
      <c r="BD13" s="435" t="s">
        <v>634</v>
      </c>
      <c r="BE13" s="435" t="s">
        <v>635</v>
      </c>
      <c r="BF13" s="435" t="s">
        <v>626</v>
      </c>
      <c r="BG13" s="435" t="s">
        <v>643</v>
      </c>
    </row>
    <row r="14" spans="1:61" x14ac:dyDescent="0.25">
      <c r="AO14" s="443"/>
    </row>
    <row r="15" spans="1:61" x14ac:dyDescent="0.25">
      <c r="A15" s="419" t="s">
        <v>642</v>
      </c>
      <c r="B15" s="467" t="s">
        <v>713</v>
      </c>
      <c r="C15" s="468" t="s">
        <v>714</v>
      </c>
      <c r="D15" s="443"/>
      <c r="E15" s="408" t="s">
        <v>762</v>
      </c>
      <c r="F15" s="443"/>
      <c r="G15" s="470" t="s">
        <v>794</v>
      </c>
      <c r="H15" s="416"/>
      <c r="I15" s="416"/>
      <c r="J15" s="416"/>
      <c r="K15" s="416"/>
      <c r="L15" s="407"/>
      <c r="M15" s="443"/>
      <c r="N15" s="470" t="s">
        <v>808</v>
      </c>
      <c r="O15" s="416"/>
      <c r="P15" s="416"/>
      <c r="Q15" s="416"/>
      <c r="R15" s="416"/>
      <c r="S15" s="416"/>
      <c r="T15" s="407"/>
      <c r="U15" s="443"/>
      <c r="V15" s="470" t="s">
        <v>810</v>
      </c>
      <c r="W15" s="416"/>
      <c r="X15" s="416"/>
      <c r="Y15" s="416"/>
      <c r="Z15" s="416"/>
      <c r="AA15" s="416"/>
      <c r="AB15" s="416"/>
      <c r="AC15" s="416"/>
      <c r="AD15" s="416"/>
      <c r="AE15" s="416"/>
      <c r="AF15" s="407"/>
      <c r="AG15" s="443"/>
      <c r="AH15" s="405" t="s">
        <v>812</v>
      </c>
      <c r="AI15" s="404"/>
      <c r="AJ15" s="404"/>
      <c r="AK15" s="404"/>
      <c r="AL15" s="404"/>
      <c r="AM15" s="420"/>
      <c r="AN15" s="443"/>
      <c r="AO15" s="469" t="s">
        <v>814</v>
      </c>
      <c r="AP15" s="425"/>
      <c r="AQ15" s="425"/>
      <c r="AR15" s="425"/>
      <c r="AS15" s="425"/>
      <c r="AT15" s="425"/>
      <c r="AU15" s="425"/>
      <c r="AV15" s="425"/>
      <c r="AW15" s="425"/>
      <c r="AX15" s="425"/>
      <c r="AY15" s="425"/>
      <c r="AZ15" s="425"/>
      <c r="BA15" s="425"/>
      <c r="BB15" s="425"/>
      <c r="BC15" s="425"/>
      <c r="BD15" s="425"/>
      <c r="BE15" s="425"/>
      <c r="BF15" s="425"/>
      <c r="BG15" s="468"/>
      <c r="BH15" s="443"/>
      <c r="BI15" s="443"/>
    </row>
    <row r="16" spans="1:61" x14ac:dyDescent="0.25">
      <c r="B16" s="462"/>
      <c r="C16" s="463" t="s">
        <v>715</v>
      </c>
      <c r="D16" s="443"/>
      <c r="E16" s="424"/>
      <c r="F16" s="443"/>
      <c r="G16" s="462"/>
      <c r="H16" s="443"/>
      <c r="I16" s="443"/>
      <c r="J16" s="443"/>
      <c r="K16" s="443"/>
      <c r="L16" s="463"/>
      <c r="M16" s="443"/>
      <c r="N16" s="431"/>
      <c r="O16" s="134"/>
      <c r="P16" s="134"/>
      <c r="Q16" s="134"/>
      <c r="R16" s="134"/>
      <c r="S16" s="134"/>
      <c r="T16" s="434"/>
      <c r="U16" s="443"/>
      <c r="V16" s="431"/>
      <c r="W16" s="134"/>
      <c r="X16" s="134"/>
      <c r="Y16" s="134"/>
      <c r="Z16" s="134"/>
      <c r="AA16" s="134"/>
      <c r="AB16" s="134"/>
      <c r="AC16" s="134"/>
      <c r="AD16" s="134"/>
      <c r="AE16" s="134"/>
      <c r="AF16" s="434"/>
      <c r="AG16" s="443"/>
      <c r="AH16" s="423"/>
      <c r="AI16" s="430"/>
      <c r="AJ16" s="430"/>
      <c r="AK16" s="430"/>
      <c r="AL16" s="430"/>
      <c r="AM16" s="418"/>
      <c r="AN16" s="443"/>
      <c r="AO16" s="462"/>
      <c r="AP16" s="443"/>
      <c r="AQ16" s="443"/>
      <c r="AR16" s="443"/>
      <c r="AS16" s="443"/>
      <c r="AT16" s="443"/>
      <c r="AU16" s="443"/>
      <c r="AV16" s="443"/>
      <c r="AW16" s="443"/>
      <c r="AX16" s="443"/>
      <c r="AY16" s="443"/>
      <c r="AZ16" s="443"/>
      <c r="BA16" s="443"/>
      <c r="BB16" s="443"/>
      <c r="BC16" s="443"/>
      <c r="BD16" s="443"/>
      <c r="BE16" s="443"/>
      <c r="BF16" s="443"/>
      <c r="BG16" s="463"/>
      <c r="BH16" s="443"/>
      <c r="BI16" s="443"/>
    </row>
    <row r="17" spans="1:61" x14ac:dyDescent="0.25">
      <c r="B17" s="462"/>
      <c r="C17" s="463" t="s">
        <v>716</v>
      </c>
      <c r="D17" s="443"/>
      <c r="E17" s="424"/>
      <c r="F17" s="443"/>
      <c r="G17" s="462"/>
      <c r="H17" s="443"/>
      <c r="I17" s="443"/>
      <c r="J17" s="443"/>
      <c r="K17" s="443"/>
      <c r="L17" s="463"/>
      <c r="M17" s="443"/>
      <c r="N17" s="431"/>
      <c r="O17" s="134"/>
      <c r="P17" s="134"/>
      <c r="Q17" s="134"/>
      <c r="R17" s="134"/>
      <c r="S17" s="134"/>
      <c r="T17" s="434"/>
      <c r="U17" s="443"/>
      <c r="V17" s="431"/>
      <c r="W17" s="134"/>
      <c r="X17" s="134"/>
      <c r="Y17" s="134"/>
      <c r="Z17" s="134"/>
      <c r="AA17" s="134"/>
      <c r="AB17" s="134"/>
      <c r="AC17" s="134"/>
      <c r="AD17" s="134"/>
      <c r="AE17" s="134"/>
      <c r="AF17" s="434"/>
      <c r="AG17" s="443"/>
      <c r="AH17" s="423"/>
      <c r="AI17" s="430"/>
      <c r="AJ17" s="430"/>
      <c r="AK17" s="430"/>
      <c r="AL17" s="430"/>
      <c r="AM17" s="418"/>
      <c r="AN17" s="443"/>
      <c r="AO17" s="462"/>
      <c r="AP17" s="443"/>
      <c r="AQ17" s="443"/>
      <c r="AR17" s="443"/>
      <c r="AS17" s="443"/>
      <c r="AT17" s="443"/>
      <c r="AU17" s="443"/>
      <c r="AV17" s="443"/>
      <c r="AW17" s="443"/>
      <c r="AX17" s="443"/>
      <c r="AY17" s="443"/>
      <c r="AZ17" s="443"/>
      <c r="BA17" s="443"/>
      <c r="BB17" s="443"/>
      <c r="BC17" s="443"/>
      <c r="BD17" s="443"/>
      <c r="BE17" s="443"/>
      <c r="BF17" s="443"/>
      <c r="BG17" s="463"/>
      <c r="BH17" s="443"/>
      <c r="BI17" s="443"/>
    </row>
    <row r="18" spans="1:61" x14ac:dyDescent="0.25">
      <c r="B18" s="464"/>
      <c r="C18" s="465" t="s">
        <v>717</v>
      </c>
      <c r="D18" s="443"/>
      <c r="E18" s="410"/>
      <c r="F18" s="443"/>
      <c r="G18" s="464"/>
      <c r="H18" s="437"/>
      <c r="I18" s="437"/>
      <c r="J18" s="437"/>
      <c r="K18" s="437"/>
      <c r="L18" s="465"/>
      <c r="M18" s="443"/>
      <c r="N18" s="421"/>
      <c r="O18" s="426"/>
      <c r="P18" s="426"/>
      <c r="Q18" s="426"/>
      <c r="R18" s="426"/>
      <c r="S18" s="426"/>
      <c r="T18" s="440"/>
      <c r="U18" s="443"/>
      <c r="V18" s="421"/>
      <c r="W18" s="426"/>
      <c r="X18" s="426"/>
      <c r="Y18" s="426"/>
      <c r="Z18" s="426"/>
      <c r="AA18" s="426"/>
      <c r="AB18" s="426"/>
      <c r="AC18" s="426"/>
      <c r="AD18" s="426"/>
      <c r="AE18" s="426"/>
      <c r="AF18" s="440"/>
      <c r="AG18" s="443"/>
      <c r="AH18" s="433"/>
      <c r="AI18" s="428"/>
      <c r="AJ18" s="428"/>
      <c r="AK18" s="428"/>
      <c r="AL18" s="428"/>
      <c r="AM18" s="422"/>
      <c r="AN18" s="443"/>
      <c r="AO18" s="464"/>
      <c r="AP18" s="437"/>
      <c r="AQ18" s="437"/>
      <c r="AR18" s="437"/>
      <c r="AS18" s="437"/>
      <c r="AT18" s="437"/>
      <c r="AU18" s="437"/>
      <c r="AV18" s="437"/>
      <c r="AW18" s="437"/>
      <c r="AX18" s="437"/>
      <c r="AY18" s="437"/>
      <c r="AZ18" s="437"/>
      <c r="BA18" s="437"/>
      <c r="BB18" s="437"/>
      <c r="BC18" s="437"/>
      <c r="BD18" s="437"/>
      <c r="BE18" s="437"/>
      <c r="BF18" s="437"/>
      <c r="BG18" s="465"/>
      <c r="BH18" s="443"/>
      <c r="BI18" s="443"/>
    </row>
    <row r="19" spans="1:61" x14ac:dyDescent="0.25">
      <c r="B19" s="443"/>
      <c r="C19" s="443"/>
      <c r="D19" s="443"/>
      <c r="E19" s="443"/>
      <c r="F19" s="443"/>
      <c r="G19" s="443"/>
      <c r="H19" s="443"/>
      <c r="I19" s="443"/>
      <c r="J19" s="443"/>
      <c r="K19" s="443"/>
      <c r="L19" s="443"/>
      <c r="M19" s="443"/>
      <c r="N19" s="134"/>
      <c r="O19" s="134"/>
      <c r="P19" s="134"/>
      <c r="Q19" s="134"/>
      <c r="R19" s="134"/>
      <c r="S19" s="134"/>
      <c r="T19" s="134"/>
      <c r="U19" s="443"/>
      <c r="V19" s="134"/>
      <c r="W19" s="134"/>
      <c r="X19" s="134"/>
      <c r="Y19" s="134"/>
      <c r="Z19" s="134"/>
      <c r="AA19" s="134"/>
      <c r="AB19" s="134"/>
      <c r="AC19" s="134"/>
      <c r="AD19" s="134"/>
      <c r="AE19" s="134"/>
      <c r="AF19" s="134"/>
      <c r="AG19" s="443"/>
      <c r="AH19" s="443"/>
      <c r="AI19" s="443"/>
      <c r="AJ19" s="443"/>
      <c r="AK19" s="443"/>
      <c r="AL19" s="443"/>
      <c r="AM19" s="443"/>
      <c r="AN19" s="443"/>
      <c r="AO19" s="443"/>
      <c r="AP19" s="443"/>
      <c r="AQ19" s="443"/>
      <c r="AR19" s="443"/>
      <c r="AS19" s="443"/>
      <c r="AT19" s="443"/>
      <c r="AU19" s="443"/>
      <c r="AV19" s="443"/>
      <c r="AW19" s="443"/>
      <c r="AX19" s="443"/>
      <c r="AY19" s="443"/>
      <c r="AZ19" s="443"/>
      <c r="BA19" s="443"/>
      <c r="BB19" s="443"/>
      <c r="BC19" s="443"/>
      <c r="BD19" s="443"/>
      <c r="BE19" s="443"/>
      <c r="BF19" s="443"/>
      <c r="BG19" s="443"/>
      <c r="BH19" s="443"/>
      <c r="BI19" s="443"/>
    </row>
    <row r="20" spans="1:61" s="443" customFormat="1" x14ac:dyDescent="0.25">
      <c r="A20" s="409" t="s">
        <v>642</v>
      </c>
      <c r="B20" s="467" t="s">
        <v>718</v>
      </c>
      <c r="C20" s="468" t="s">
        <v>714</v>
      </c>
      <c r="E20" s="408" t="s">
        <v>763</v>
      </c>
      <c r="G20" s="470" t="s">
        <v>795</v>
      </c>
      <c r="H20" s="416"/>
      <c r="I20" s="416"/>
      <c r="J20" s="416"/>
      <c r="K20" s="416"/>
      <c r="L20" s="407"/>
      <c r="N20" s="470" t="s">
        <v>807</v>
      </c>
      <c r="O20" s="416"/>
      <c r="P20" s="416"/>
      <c r="Q20" s="416"/>
      <c r="R20" s="416"/>
      <c r="S20" s="416"/>
      <c r="T20" s="407"/>
      <c r="V20" s="470" t="s">
        <v>809</v>
      </c>
      <c r="W20" s="416"/>
      <c r="X20" s="416"/>
      <c r="Y20" s="416"/>
      <c r="Z20" s="416"/>
      <c r="AA20" s="416"/>
      <c r="AB20" s="416"/>
      <c r="AC20" s="416"/>
      <c r="AD20" s="416"/>
      <c r="AE20" s="416"/>
      <c r="AF20" s="407"/>
      <c r="AH20" s="405" t="s">
        <v>811</v>
      </c>
      <c r="AI20" s="404"/>
      <c r="AJ20" s="404"/>
      <c r="AK20" s="404"/>
      <c r="AL20" s="404"/>
      <c r="AM20" s="420"/>
      <c r="AN20" s="430"/>
      <c r="AO20" s="469" t="s">
        <v>813</v>
      </c>
      <c r="AP20" s="425"/>
      <c r="AQ20" s="425"/>
      <c r="AR20" s="425"/>
      <c r="AS20" s="425"/>
      <c r="AT20" s="425"/>
      <c r="AU20" s="425"/>
      <c r="AV20" s="425"/>
      <c r="AW20" s="425"/>
      <c r="AX20" s="425"/>
      <c r="AY20" s="425"/>
      <c r="AZ20" s="425"/>
      <c r="BA20" s="425"/>
      <c r="BB20" s="425"/>
      <c r="BC20" s="425"/>
      <c r="BD20" s="425"/>
      <c r="BE20" s="425"/>
      <c r="BF20" s="425"/>
      <c r="BG20" s="468"/>
    </row>
    <row r="21" spans="1:61" x14ac:dyDescent="0.25">
      <c r="B21" s="462"/>
      <c r="C21" s="463" t="s">
        <v>715</v>
      </c>
      <c r="D21" s="443"/>
      <c r="E21" s="424"/>
      <c r="F21" s="443"/>
      <c r="G21" s="462"/>
      <c r="H21" s="443"/>
      <c r="I21" s="443"/>
      <c r="J21" s="443"/>
      <c r="K21" s="443"/>
      <c r="L21" s="463"/>
      <c r="M21" s="443"/>
      <c r="N21" s="431"/>
      <c r="O21" s="134"/>
      <c r="P21" s="134"/>
      <c r="Q21" s="134"/>
      <c r="R21" s="134"/>
      <c r="S21" s="134"/>
      <c r="T21" s="434"/>
      <c r="U21" s="443"/>
      <c r="V21" s="431"/>
      <c r="W21" s="134"/>
      <c r="X21" s="134"/>
      <c r="Y21" s="134"/>
      <c r="Z21" s="134"/>
      <c r="AA21" s="134"/>
      <c r="AB21" s="134"/>
      <c r="AC21" s="134"/>
      <c r="AD21" s="134"/>
      <c r="AE21" s="134"/>
      <c r="AF21" s="434"/>
      <c r="AG21" s="443"/>
      <c r="AH21" s="423"/>
      <c r="AI21" s="430"/>
      <c r="AJ21" s="430"/>
      <c r="AK21" s="430"/>
      <c r="AL21" s="430"/>
      <c r="AM21" s="418"/>
      <c r="AN21" s="430"/>
      <c r="AO21" s="462"/>
      <c r="AP21" s="443"/>
      <c r="AQ21" s="443"/>
      <c r="AR21" s="443"/>
      <c r="AS21" s="443"/>
      <c r="AT21" s="443"/>
      <c r="AU21" s="443"/>
      <c r="AV21" s="443"/>
      <c r="AW21" s="443"/>
      <c r="AX21" s="443"/>
      <c r="AY21" s="443"/>
      <c r="AZ21" s="443"/>
      <c r="BA21" s="443"/>
      <c r="BB21" s="443"/>
      <c r="BC21" s="443"/>
      <c r="BD21" s="443"/>
      <c r="BE21" s="443"/>
      <c r="BF21" s="443"/>
      <c r="BG21" s="463"/>
      <c r="BH21" s="443"/>
      <c r="BI21" s="443"/>
    </row>
    <row r="22" spans="1:61" x14ac:dyDescent="0.25">
      <c r="B22" s="462"/>
      <c r="C22" s="463" t="s">
        <v>716</v>
      </c>
      <c r="D22" s="443"/>
      <c r="E22" s="424"/>
      <c r="F22" s="443"/>
      <c r="G22" s="462"/>
      <c r="H22" s="443"/>
      <c r="I22" s="443"/>
      <c r="J22" s="443"/>
      <c r="K22" s="443"/>
      <c r="L22" s="463"/>
      <c r="M22" s="443"/>
      <c r="N22" s="431"/>
      <c r="O22" s="134"/>
      <c r="P22" s="134"/>
      <c r="Q22" s="134"/>
      <c r="R22" s="134"/>
      <c r="S22" s="134"/>
      <c r="T22" s="434"/>
      <c r="U22" s="443"/>
      <c r="V22" s="431"/>
      <c r="W22" s="134"/>
      <c r="X22" s="134"/>
      <c r="Y22" s="134"/>
      <c r="Z22" s="134"/>
      <c r="AA22" s="134"/>
      <c r="AB22" s="134"/>
      <c r="AC22" s="134"/>
      <c r="AD22" s="134"/>
      <c r="AE22" s="134"/>
      <c r="AF22" s="434"/>
      <c r="AG22" s="443"/>
      <c r="AH22" s="423"/>
      <c r="AI22" s="430"/>
      <c r="AJ22" s="430"/>
      <c r="AK22" s="430"/>
      <c r="AL22" s="430"/>
      <c r="AM22" s="418"/>
      <c r="AN22" s="430"/>
      <c r="AO22" s="462"/>
      <c r="AP22" s="443"/>
      <c r="AQ22" s="443"/>
      <c r="AR22" s="443"/>
      <c r="AS22" s="443"/>
      <c r="AT22" s="443"/>
      <c r="AU22" s="443"/>
      <c r="AV22" s="443"/>
      <c r="AW22" s="443"/>
      <c r="AX22" s="443"/>
      <c r="AY22" s="443"/>
      <c r="AZ22" s="443"/>
      <c r="BA22" s="443"/>
      <c r="BB22" s="443"/>
      <c r="BC22" s="443"/>
      <c r="BD22" s="443"/>
      <c r="BE22" s="443"/>
      <c r="BF22" s="443"/>
      <c r="BG22" s="463"/>
      <c r="BH22" s="443"/>
      <c r="BI22" s="443"/>
    </row>
    <row r="23" spans="1:61" x14ac:dyDescent="0.25">
      <c r="B23" s="464"/>
      <c r="C23" s="465" t="s">
        <v>717</v>
      </c>
      <c r="D23" s="443"/>
      <c r="E23" s="424"/>
      <c r="F23" s="443"/>
      <c r="G23" s="464"/>
      <c r="H23" s="437"/>
      <c r="I23" s="437"/>
      <c r="J23" s="437"/>
      <c r="K23" s="437"/>
      <c r="L23" s="465"/>
      <c r="M23" s="443"/>
      <c r="N23" s="421"/>
      <c r="O23" s="426"/>
      <c r="P23" s="426"/>
      <c r="Q23" s="426"/>
      <c r="R23" s="426"/>
      <c r="S23" s="426"/>
      <c r="T23" s="440"/>
      <c r="U23" s="443"/>
      <c r="V23" s="421"/>
      <c r="W23" s="426"/>
      <c r="X23" s="426"/>
      <c r="Y23" s="426"/>
      <c r="Z23" s="426"/>
      <c r="AA23" s="426"/>
      <c r="AB23" s="426"/>
      <c r="AC23" s="426"/>
      <c r="AD23" s="426"/>
      <c r="AE23" s="426"/>
      <c r="AF23" s="440"/>
      <c r="AG23" s="443"/>
      <c r="AH23" s="433"/>
      <c r="AI23" s="428"/>
      <c r="AJ23" s="428"/>
      <c r="AK23" s="428"/>
      <c r="AL23" s="428"/>
      <c r="AM23" s="422"/>
      <c r="AN23" s="430"/>
      <c r="AO23" s="464"/>
      <c r="AP23" s="437"/>
      <c r="AQ23" s="437"/>
      <c r="AR23" s="437"/>
      <c r="AS23" s="437"/>
      <c r="AT23" s="437"/>
      <c r="AU23" s="437"/>
      <c r="AV23" s="437"/>
      <c r="AW23" s="437"/>
      <c r="AX23" s="437"/>
      <c r="AY23" s="437"/>
      <c r="AZ23" s="437"/>
      <c r="BA23" s="437"/>
      <c r="BB23" s="437"/>
      <c r="BC23" s="437"/>
      <c r="BD23" s="437"/>
      <c r="BE23" s="437"/>
      <c r="BF23" s="437"/>
      <c r="BG23" s="465"/>
      <c r="BH23" s="443"/>
      <c r="BI23" s="443"/>
    </row>
    <row r="24" spans="1:61" s="443" customFormat="1" x14ac:dyDescent="0.25">
      <c r="A24" s="134"/>
      <c r="B24" s="469" t="s">
        <v>719</v>
      </c>
      <c r="C24" s="468" t="s">
        <v>714</v>
      </c>
      <c r="E24" s="408"/>
      <c r="G24" s="470"/>
      <c r="H24" s="416"/>
      <c r="I24" s="416"/>
      <c r="J24" s="416"/>
      <c r="K24" s="416"/>
      <c r="L24" s="407"/>
      <c r="N24" s="470"/>
      <c r="O24" s="416"/>
      <c r="P24" s="416"/>
      <c r="Q24" s="416"/>
      <c r="R24" s="416"/>
      <c r="S24" s="416"/>
      <c r="T24" s="436"/>
      <c r="V24" s="470"/>
      <c r="W24" s="416"/>
      <c r="X24" s="416"/>
      <c r="Y24" s="416"/>
      <c r="Z24" s="416"/>
      <c r="AA24" s="416"/>
      <c r="AB24" s="416"/>
      <c r="AC24" s="416"/>
      <c r="AD24" s="416"/>
      <c r="AE24" s="416"/>
      <c r="AF24" s="407"/>
      <c r="AH24" s="405"/>
      <c r="AI24" s="404"/>
      <c r="AJ24" s="404"/>
      <c r="AK24" s="404"/>
      <c r="AL24" s="404"/>
      <c r="AM24" s="420"/>
      <c r="AN24" s="430"/>
      <c r="AO24" s="469"/>
      <c r="AP24" s="425"/>
      <c r="AQ24" s="425"/>
      <c r="AR24" s="425"/>
      <c r="AS24" s="425"/>
      <c r="AT24" s="425"/>
      <c r="AU24" s="425"/>
      <c r="AV24" s="425"/>
      <c r="AW24" s="425"/>
      <c r="AX24" s="425"/>
      <c r="AY24" s="425"/>
      <c r="AZ24" s="425"/>
      <c r="BA24" s="425"/>
      <c r="BB24" s="425"/>
      <c r="BC24" s="425"/>
      <c r="BD24" s="425"/>
      <c r="BE24" s="425"/>
      <c r="BF24" s="425"/>
      <c r="BG24" s="468"/>
    </row>
    <row r="25" spans="1:61" x14ac:dyDescent="0.25">
      <c r="A25"/>
      <c r="B25" s="462"/>
      <c r="C25" s="463" t="s">
        <v>715</v>
      </c>
      <c r="D25" s="443"/>
      <c r="E25" s="424"/>
      <c r="F25" s="443"/>
      <c r="G25" s="462"/>
      <c r="H25" s="443"/>
      <c r="I25" s="443"/>
      <c r="J25" s="443"/>
      <c r="K25" s="443"/>
      <c r="L25" s="463"/>
      <c r="M25" s="443"/>
      <c r="N25" s="431"/>
      <c r="O25" s="134"/>
      <c r="P25" s="134"/>
      <c r="Q25" s="134"/>
      <c r="R25" s="134"/>
      <c r="S25" s="134"/>
      <c r="T25" s="402"/>
      <c r="U25" s="443"/>
      <c r="V25" s="431"/>
      <c r="W25" s="134"/>
      <c r="X25" s="134"/>
      <c r="Y25" s="134"/>
      <c r="Z25" s="134"/>
      <c r="AA25" s="134"/>
      <c r="AB25" s="134"/>
      <c r="AC25" s="134"/>
      <c r="AD25" s="134"/>
      <c r="AE25" s="134"/>
      <c r="AF25" s="434"/>
      <c r="AG25" s="443"/>
      <c r="AH25" s="423"/>
      <c r="AI25" s="430"/>
      <c r="AJ25" s="430"/>
      <c r="AK25" s="430"/>
      <c r="AL25" s="430"/>
      <c r="AM25" s="418"/>
      <c r="AN25" s="430"/>
      <c r="AO25" s="462"/>
      <c r="AP25" s="443"/>
      <c r="AQ25" s="443"/>
      <c r="AR25" s="443"/>
      <c r="AS25" s="443"/>
      <c r="AT25" s="443"/>
      <c r="AU25" s="443"/>
      <c r="AV25" s="443"/>
      <c r="AW25" s="443"/>
      <c r="AX25" s="443"/>
      <c r="AY25" s="443"/>
      <c r="AZ25" s="443"/>
      <c r="BA25" s="443"/>
      <c r="BB25" s="443"/>
      <c r="BC25" s="443"/>
      <c r="BD25" s="443"/>
      <c r="BE25" s="443"/>
      <c r="BF25" s="443"/>
      <c r="BG25" s="463"/>
      <c r="BH25" s="443"/>
      <c r="BI25" s="443"/>
    </row>
    <row r="26" spans="1:61" x14ac:dyDescent="0.25">
      <c r="A26"/>
      <c r="B26" s="462"/>
      <c r="C26" s="463" t="s">
        <v>716</v>
      </c>
      <c r="D26" s="443"/>
      <c r="E26" s="424"/>
      <c r="F26" s="443"/>
      <c r="G26" s="462"/>
      <c r="H26" s="443"/>
      <c r="I26" s="443"/>
      <c r="J26" s="443"/>
      <c r="K26" s="443"/>
      <c r="L26" s="463"/>
      <c r="M26" s="443"/>
      <c r="N26" s="431"/>
      <c r="O26" s="134"/>
      <c r="P26" s="134"/>
      <c r="Q26" s="134"/>
      <c r="R26" s="134"/>
      <c r="S26" s="134"/>
      <c r="T26" s="402"/>
      <c r="U26" s="443"/>
      <c r="V26" s="431"/>
      <c r="W26" s="134"/>
      <c r="X26" s="134"/>
      <c r="Y26" s="134"/>
      <c r="Z26" s="134"/>
      <c r="AA26" s="134"/>
      <c r="AB26" s="134"/>
      <c r="AC26" s="134"/>
      <c r="AD26" s="134"/>
      <c r="AE26" s="134"/>
      <c r="AF26" s="434"/>
      <c r="AG26" s="443"/>
      <c r="AH26" s="423"/>
      <c r="AI26" s="430"/>
      <c r="AJ26" s="430"/>
      <c r="AK26" s="430"/>
      <c r="AL26" s="430"/>
      <c r="AM26" s="418"/>
      <c r="AN26" s="430"/>
      <c r="AO26" s="462"/>
      <c r="AP26" s="443"/>
      <c r="AQ26" s="443"/>
      <c r="AR26" s="443"/>
      <c r="AS26" s="443"/>
      <c r="AT26" s="443"/>
      <c r="AU26" s="443"/>
      <c r="AV26" s="443"/>
      <c r="AW26" s="443"/>
      <c r="AX26" s="443"/>
      <c r="AY26" s="443"/>
      <c r="AZ26" s="443"/>
      <c r="BA26" s="443"/>
      <c r="BB26" s="443"/>
      <c r="BC26" s="443"/>
      <c r="BD26" s="443"/>
      <c r="BE26" s="443"/>
      <c r="BF26" s="443"/>
      <c r="BG26" s="463"/>
      <c r="BH26" s="443"/>
      <c r="BI26" s="443"/>
    </row>
    <row r="27" spans="1:61" x14ac:dyDescent="0.25">
      <c r="A27"/>
      <c r="B27" s="464"/>
      <c r="C27" s="465" t="s">
        <v>717</v>
      </c>
      <c r="D27" s="443"/>
      <c r="E27" s="424"/>
      <c r="F27" s="443"/>
      <c r="G27" s="464"/>
      <c r="H27" s="437"/>
      <c r="I27" s="437"/>
      <c r="J27" s="437"/>
      <c r="K27" s="437"/>
      <c r="L27" s="465"/>
      <c r="M27" s="443"/>
      <c r="N27" s="421"/>
      <c r="O27" s="426"/>
      <c r="P27" s="426"/>
      <c r="Q27" s="426"/>
      <c r="R27" s="426"/>
      <c r="S27" s="426"/>
      <c r="T27" s="414"/>
      <c r="U27" s="443"/>
      <c r="V27" s="421"/>
      <c r="W27" s="426"/>
      <c r="X27" s="426"/>
      <c r="Y27" s="426"/>
      <c r="Z27" s="426"/>
      <c r="AA27" s="426"/>
      <c r="AB27" s="426"/>
      <c r="AC27" s="426"/>
      <c r="AD27" s="426"/>
      <c r="AE27" s="426"/>
      <c r="AF27" s="440"/>
      <c r="AG27" s="443"/>
      <c r="AH27" s="433"/>
      <c r="AI27" s="428"/>
      <c r="AJ27" s="428"/>
      <c r="AK27" s="428"/>
      <c r="AL27" s="428"/>
      <c r="AM27" s="422"/>
      <c r="AN27" s="430"/>
      <c r="AO27" s="464"/>
      <c r="AP27" s="437"/>
      <c r="AQ27" s="437"/>
      <c r="AR27" s="437"/>
      <c r="AS27" s="437"/>
      <c r="AT27" s="437"/>
      <c r="AU27" s="437"/>
      <c r="AV27" s="437"/>
      <c r="AW27" s="437"/>
      <c r="AX27" s="437"/>
      <c r="AY27" s="437"/>
      <c r="AZ27" s="437"/>
      <c r="BA27" s="437"/>
      <c r="BB27" s="437"/>
      <c r="BC27" s="437"/>
      <c r="BD27" s="437"/>
      <c r="BE27" s="437"/>
      <c r="BF27" s="437"/>
      <c r="BG27" s="465"/>
      <c r="BH27" s="443"/>
      <c r="BI27" s="443"/>
    </row>
    <row r="28" spans="1:61" s="443" customFormat="1" x14ac:dyDescent="0.25">
      <c r="A28" s="134"/>
      <c r="B28" s="469" t="s">
        <v>720</v>
      </c>
      <c r="C28" s="468" t="s">
        <v>714</v>
      </c>
      <c r="E28" s="408"/>
      <c r="G28" s="470"/>
      <c r="H28" s="416"/>
      <c r="I28" s="416"/>
      <c r="J28" s="416"/>
      <c r="K28" s="416"/>
      <c r="L28" s="407"/>
      <c r="N28" s="470"/>
      <c r="O28" s="416"/>
      <c r="P28" s="416"/>
      <c r="Q28" s="416"/>
      <c r="R28" s="416"/>
      <c r="S28" s="416"/>
      <c r="T28" s="407"/>
      <c r="V28" s="470"/>
      <c r="W28" s="416"/>
      <c r="X28" s="416"/>
      <c r="Y28" s="416"/>
      <c r="Z28" s="416"/>
      <c r="AA28" s="416"/>
      <c r="AB28" s="416"/>
      <c r="AC28" s="416"/>
      <c r="AD28" s="416"/>
      <c r="AE28" s="416"/>
      <c r="AF28" s="407"/>
      <c r="AH28" s="405"/>
      <c r="AI28" s="404"/>
      <c r="AJ28" s="404"/>
      <c r="AK28" s="404"/>
      <c r="AL28" s="404"/>
      <c r="AM28" s="420"/>
      <c r="AN28" s="430"/>
      <c r="AO28" s="469"/>
      <c r="AP28" s="425"/>
      <c r="AQ28" s="425"/>
      <c r="AR28" s="425"/>
      <c r="AS28" s="425"/>
      <c r="AT28" s="425"/>
      <c r="AU28" s="425"/>
      <c r="AV28" s="425"/>
      <c r="AW28" s="425"/>
      <c r="AX28" s="425"/>
      <c r="AY28" s="425"/>
      <c r="AZ28" s="425"/>
      <c r="BA28" s="425"/>
      <c r="BB28" s="425"/>
      <c r="BC28" s="425"/>
      <c r="BD28" s="425"/>
      <c r="BE28" s="425"/>
      <c r="BF28" s="425"/>
      <c r="BG28" s="468"/>
    </row>
    <row r="29" spans="1:61" x14ac:dyDescent="0.25">
      <c r="A29"/>
      <c r="B29" s="462"/>
      <c r="C29" s="463" t="s">
        <v>715</v>
      </c>
      <c r="D29" s="443"/>
      <c r="E29" s="424"/>
      <c r="F29" s="443"/>
      <c r="G29" s="462"/>
      <c r="H29" s="443"/>
      <c r="I29" s="443"/>
      <c r="J29" s="443"/>
      <c r="K29" s="443"/>
      <c r="L29" s="463"/>
      <c r="M29" s="443"/>
      <c r="N29" s="431"/>
      <c r="O29" s="134"/>
      <c r="P29" s="134"/>
      <c r="Q29" s="134"/>
      <c r="R29" s="134"/>
      <c r="S29" s="134"/>
      <c r="T29" s="434"/>
      <c r="U29" s="443"/>
      <c r="V29" s="431"/>
      <c r="W29" s="134"/>
      <c r="X29" s="134"/>
      <c r="Y29" s="134"/>
      <c r="Z29" s="134"/>
      <c r="AA29" s="134"/>
      <c r="AB29" s="134"/>
      <c r="AC29" s="134"/>
      <c r="AD29" s="134"/>
      <c r="AE29" s="134"/>
      <c r="AF29" s="434"/>
      <c r="AG29" s="443"/>
      <c r="AH29" s="423"/>
      <c r="AI29" s="430"/>
      <c r="AJ29" s="430"/>
      <c r="AK29" s="430"/>
      <c r="AL29" s="430"/>
      <c r="AM29" s="418"/>
      <c r="AN29" s="430"/>
      <c r="AO29" s="462"/>
      <c r="AP29" s="443"/>
      <c r="AQ29" s="443"/>
      <c r="AR29" s="443"/>
      <c r="AS29" s="443"/>
      <c r="AT29" s="443"/>
      <c r="AU29" s="443"/>
      <c r="AV29" s="443"/>
      <c r="AW29" s="443"/>
      <c r="AX29" s="443"/>
      <c r="AY29" s="443"/>
      <c r="AZ29" s="443"/>
      <c r="BA29" s="443"/>
      <c r="BB29" s="443"/>
      <c r="BC29" s="443"/>
      <c r="BD29" s="443"/>
      <c r="BE29" s="443"/>
      <c r="BF29" s="443"/>
      <c r="BG29" s="463"/>
      <c r="BH29" s="443"/>
      <c r="BI29" s="443"/>
    </row>
    <row r="30" spans="1:61" x14ac:dyDescent="0.25">
      <c r="A30"/>
      <c r="B30" s="462"/>
      <c r="C30" s="463" t="s">
        <v>716</v>
      </c>
      <c r="D30" s="443"/>
      <c r="E30" s="424"/>
      <c r="F30" s="443"/>
      <c r="G30" s="462"/>
      <c r="H30" s="443"/>
      <c r="I30" s="443"/>
      <c r="J30" s="443"/>
      <c r="K30" s="443"/>
      <c r="L30" s="463"/>
      <c r="M30" s="443"/>
      <c r="N30" s="431"/>
      <c r="O30" s="134"/>
      <c r="P30" s="134"/>
      <c r="Q30" s="134"/>
      <c r="R30" s="134"/>
      <c r="S30" s="134"/>
      <c r="T30" s="434"/>
      <c r="U30" s="443"/>
      <c r="V30" s="431"/>
      <c r="W30" s="134"/>
      <c r="X30" s="134"/>
      <c r="Y30" s="134"/>
      <c r="Z30" s="134"/>
      <c r="AA30" s="134"/>
      <c r="AB30" s="134"/>
      <c r="AC30" s="134"/>
      <c r="AD30" s="134"/>
      <c r="AE30" s="134"/>
      <c r="AF30" s="434"/>
      <c r="AG30" s="443"/>
      <c r="AH30" s="423"/>
      <c r="AI30" s="430"/>
      <c r="AJ30" s="430"/>
      <c r="AK30" s="430"/>
      <c r="AL30" s="430"/>
      <c r="AM30" s="418"/>
      <c r="AN30" s="430"/>
      <c r="AO30" s="462"/>
      <c r="AP30" s="443"/>
      <c r="AQ30" s="443"/>
      <c r="AR30" s="443"/>
      <c r="AS30" s="443"/>
      <c r="AT30" s="443"/>
      <c r="AU30" s="443"/>
      <c r="AV30" s="443"/>
      <c r="AW30" s="443"/>
      <c r="AX30" s="443"/>
      <c r="AY30" s="443"/>
      <c r="AZ30" s="443"/>
      <c r="BA30" s="443"/>
      <c r="BB30" s="443"/>
      <c r="BC30" s="443"/>
      <c r="BD30" s="443"/>
      <c r="BE30" s="443"/>
      <c r="BF30" s="443"/>
      <c r="BG30" s="463"/>
      <c r="BH30" s="443"/>
      <c r="BI30" s="443"/>
    </row>
    <row r="31" spans="1:61" x14ac:dyDescent="0.25">
      <c r="A31"/>
      <c r="B31" s="464"/>
      <c r="C31" s="465" t="s">
        <v>717</v>
      </c>
      <c r="D31" s="443"/>
      <c r="E31" s="424"/>
      <c r="F31" s="443"/>
      <c r="G31" s="464"/>
      <c r="H31" s="437"/>
      <c r="I31" s="443"/>
      <c r="J31" s="443"/>
      <c r="K31" s="443"/>
      <c r="L31" s="463"/>
      <c r="M31" s="443"/>
      <c r="N31" s="421"/>
      <c r="O31" s="426"/>
      <c r="P31" s="426"/>
      <c r="Q31" s="426"/>
      <c r="R31" s="426"/>
      <c r="S31" s="426"/>
      <c r="T31" s="440"/>
      <c r="U31" s="443"/>
      <c r="V31" s="421"/>
      <c r="W31" s="426"/>
      <c r="X31" s="426"/>
      <c r="Y31" s="426"/>
      <c r="Z31" s="426"/>
      <c r="AA31" s="426"/>
      <c r="AB31" s="426"/>
      <c r="AC31" s="426"/>
      <c r="AD31" s="426"/>
      <c r="AE31" s="426"/>
      <c r="AF31" s="440"/>
      <c r="AG31" s="443"/>
      <c r="AH31" s="433"/>
      <c r="AI31" s="428"/>
      <c r="AJ31" s="428"/>
      <c r="AK31" s="428"/>
      <c r="AL31" s="428"/>
      <c r="AM31" s="422"/>
      <c r="AN31" s="430"/>
      <c r="AO31" s="464"/>
      <c r="AP31" s="437"/>
      <c r="AQ31" s="437"/>
      <c r="AR31" s="437"/>
      <c r="AS31" s="437"/>
      <c r="AT31" s="437"/>
      <c r="AU31" s="437"/>
      <c r="AV31" s="437"/>
      <c r="AW31" s="437"/>
      <c r="AX31" s="437"/>
      <c r="AY31" s="437"/>
      <c r="AZ31" s="437"/>
      <c r="BA31" s="437"/>
      <c r="BB31" s="437"/>
      <c r="BC31" s="437"/>
      <c r="BD31" s="437"/>
      <c r="BE31" s="437"/>
      <c r="BF31" s="437"/>
      <c r="BG31" s="465"/>
      <c r="BH31" s="443"/>
      <c r="BI31" s="443"/>
    </row>
    <row r="32" spans="1:61" s="443" customFormat="1" x14ac:dyDescent="0.25">
      <c r="A32" s="134"/>
      <c r="B32" s="469" t="s">
        <v>721</v>
      </c>
      <c r="C32" s="468" t="s">
        <v>714</v>
      </c>
      <c r="E32" s="408"/>
      <c r="G32" s="470"/>
      <c r="H32" s="416"/>
      <c r="I32" s="416"/>
      <c r="J32" s="416"/>
      <c r="K32" s="416"/>
      <c r="L32" s="436"/>
      <c r="N32" s="470"/>
      <c r="O32" s="416"/>
      <c r="P32" s="416"/>
      <c r="Q32" s="416"/>
      <c r="R32" s="416"/>
      <c r="S32" s="416"/>
      <c r="T32" s="436"/>
      <c r="V32" s="470"/>
      <c r="W32" s="416"/>
      <c r="X32" s="416"/>
      <c r="Y32" s="416"/>
      <c r="Z32" s="416"/>
      <c r="AA32" s="416"/>
      <c r="AB32" s="416"/>
      <c r="AC32" s="416"/>
      <c r="AD32" s="416"/>
      <c r="AE32" s="416"/>
      <c r="AF32" s="407"/>
      <c r="AH32" s="405"/>
      <c r="AI32" s="404"/>
      <c r="AJ32" s="404"/>
      <c r="AK32" s="404"/>
      <c r="AL32" s="404"/>
      <c r="AM32" s="420"/>
      <c r="AN32" s="430"/>
      <c r="AO32" s="469"/>
      <c r="AP32" s="425"/>
      <c r="AQ32" s="425"/>
      <c r="AR32" s="425"/>
      <c r="AS32" s="425"/>
      <c r="AT32" s="425"/>
      <c r="AU32" s="425"/>
      <c r="AV32" s="425"/>
      <c r="AW32" s="425"/>
      <c r="AX32" s="425"/>
      <c r="AY32" s="425"/>
      <c r="AZ32" s="425"/>
      <c r="BA32" s="425"/>
      <c r="BB32" s="425"/>
      <c r="BC32" s="425"/>
      <c r="BD32" s="425"/>
      <c r="BE32" s="425"/>
      <c r="BF32" s="425"/>
      <c r="BG32" s="468"/>
    </row>
    <row r="33" spans="1:61" x14ac:dyDescent="0.25">
      <c r="A33"/>
      <c r="B33" s="462"/>
      <c r="C33" s="463" t="s">
        <v>715</v>
      </c>
      <c r="D33" s="443"/>
      <c r="E33" s="424"/>
      <c r="F33" s="443"/>
      <c r="G33" s="462"/>
      <c r="H33" s="443"/>
      <c r="I33" s="443"/>
      <c r="J33" s="443"/>
      <c r="K33" s="443"/>
      <c r="L33" s="402"/>
      <c r="M33" s="443"/>
      <c r="N33" s="431"/>
      <c r="O33" s="134"/>
      <c r="P33" s="134"/>
      <c r="Q33" s="134"/>
      <c r="R33" s="134"/>
      <c r="S33" s="134"/>
      <c r="T33" s="402"/>
      <c r="U33" s="443"/>
      <c r="V33" s="431"/>
      <c r="W33" s="134"/>
      <c r="X33" s="134"/>
      <c r="Y33" s="134"/>
      <c r="Z33" s="134"/>
      <c r="AA33" s="134"/>
      <c r="AB33" s="134"/>
      <c r="AC33" s="134"/>
      <c r="AD33" s="134"/>
      <c r="AE33" s="134"/>
      <c r="AF33" s="434"/>
      <c r="AG33" s="443"/>
      <c r="AH33" s="423"/>
      <c r="AI33" s="430"/>
      <c r="AJ33" s="430"/>
      <c r="AK33" s="430"/>
      <c r="AL33" s="430"/>
      <c r="AM33" s="418"/>
      <c r="AN33" s="430"/>
      <c r="AO33" s="462"/>
      <c r="AP33" s="443"/>
      <c r="AQ33" s="443"/>
      <c r="AR33" s="443"/>
      <c r="AS33" s="443"/>
      <c r="AT33" s="443"/>
      <c r="AU33" s="443"/>
      <c r="AV33" s="443"/>
      <c r="AW33" s="443"/>
      <c r="AX33" s="443"/>
      <c r="AY33" s="443"/>
      <c r="AZ33" s="443"/>
      <c r="BA33" s="443"/>
      <c r="BB33" s="443"/>
      <c r="BC33" s="443"/>
      <c r="BD33" s="443"/>
      <c r="BE33" s="443"/>
      <c r="BF33" s="443"/>
      <c r="BG33" s="463"/>
      <c r="BH33" s="443"/>
      <c r="BI33" s="443"/>
    </row>
    <row r="34" spans="1:61" x14ac:dyDescent="0.25">
      <c r="A34"/>
      <c r="B34" s="462"/>
      <c r="C34" s="463" t="s">
        <v>716</v>
      </c>
      <c r="D34" s="443"/>
      <c r="E34" s="424"/>
      <c r="F34" s="443"/>
      <c r="G34" s="462"/>
      <c r="H34" s="443"/>
      <c r="I34" s="443"/>
      <c r="J34" s="443"/>
      <c r="K34" s="443"/>
      <c r="L34" s="402"/>
      <c r="M34" s="443"/>
      <c r="N34" s="431"/>
      <c r="O34" s="134"/>
      <c r="P34" s="134"/>
      <c r="Q34" s="134"/>
      <c r="R34" s="134"/>
      <c r="S34" s="134"/>
      <c r="T34" s="402"/>
      <c r="U34" s="443"/>
      <c r="V34" s="431"/>
      <c r="W34" s="134"/>
      <c r="X34" s="134"/>
      <c r="Y34" s="134"/>
      <c r="Z34" s="134"/>
      <c r="AA34" s="134"/>
      <c r="AB34" s="134"/>
      <c r="AC34" s="134"/>
      <c r="AD34" s="134"/>
      <c r="AE34" s="134"/>
      <c r="AF34" s="434"/>
      <c r="AG34" s="443"/>
      <c r="AH34" s="423"/>
      <c r="AI34" s="430"/>
      <c r="AJ34" s="430"/>
      <c r="AK34" s="430"/>
      <c r="AL34" s="430"/>
      <c r="AM34" s="418"/>
      <c r="AN34" s="430"/>
      <c r="AO34" s="462"/>
      <c r="AP34" s="443"/>
      <c r="AQ34" s="443"/>
      <c r="AR34" s="443"/>
      <c r="AS34" s="443"/>
      <c r="AT34" s="443"/>
      <c r="AU34" s="443"/>
      <c r="AV34" s="443"/>
      <c r="AW34" s="443"/>
      <c r="AX34" s="443"/>
      <c r="AY34" s="443"/>
      <c r="AZ34" s="443"/>
      <c r="BA34" s="443"/>
      <c r="BB34" s="443"/>
      <c r="BC34" s="443"/>
      <c r="BD34" s="443"/>
      <c r="BE34" s="443"/>
      <c r="BF34" s="443"/>
      <c r="BG34" s="463"/>
      <c r="BH34" s="443"/>
      <c r="BI34" s="443"/>
    </row>
    <row r="35" spans="1:61" x14ac:dyDescent="0.25">
      <c r="A35"/>
      <c r="B35" s="464"/>
      <c r="C35" s="465" t="s">
        <v>717</v>
      </c>
      <c r="D35" s="443"/>
      <c r="E35" s="424"/>
      <c r="F35" s="443"/>
      <c r="G35" s="464"/>
      <c r="H35" s="437"/>
      <c r="I35" s="437"/>
      <c r="J35" s="437"/>
      <c r="K35" s="437"/>
      <c r="L35" s="414"/>
      <c r="M35" s="443"/>
      <c r="N35" s="421"/>
      <c r="O35" s="426"/>
      <c r="P35" s="426"/>
      <c r="Q35" s="426"/>
      <c r="R35" s="426"/>
      <c r="S35" s="426"/>
      <c r="T35" s="414"/>
      <c r="U35" s="443"/>
      <c r="V35" s="421"/>
      <c r="W35" s="426"/>
      <c r="X35" s="426"/>
      <c r="Y35" s="426"/>
      <c r="Z35" s="426"/>
      <c r="AA35" s="426"/>
      <c r="AB35" s="426"/>
      <c r="AC35" s="426"/>
      <c r="AD35" s="426"/>
      <c r="AE35" s="426"/>
      <c r="AF35" s="440"/>
      <c r="AG35" s="443"/>
      <c r="AH35" s="433"/>
      <c r="AI35" s="428"/>
      <c r="AJ35" s="428"/>
      <c r="AK35" s="428"/>
      <c r="AL35" s="428"/>
      <c r="AM35" s="422"/>
      <c r="AN35" s="430"/>
      <c r="AO35" s="464"/>
      <c r="AP35" s="437"/>
      <c r="AQ35" s="437"/>
      <c r="AR35" s="437"/>
      <c r="AS35" s="437"/>
      <c r="AT35" s="437"/>
      <c r="AU35" s="437"/>
      <c r="AV35" s="437"/>
      <c r="AW35" s="437"/>
      <c r="AX35" s="437"/>
      <c r="AY35" s="437"/>
      <c r="AZ35" s="437"/>
      <c r="BA35" s="437"/>
      <c r="BB35" s="437"/>
      <c r="BC35" s="437"/>
      <c r="BD35" s="437"/>
      <c r="BE35" s="437"/>
      <c r="BF35" s="437"/>
      <c r="BG35" s="465"/>
      <c r="BH35" s="443"/>
      <c r="BI35" s="443"/>
    </row>
    <row r="36" spans="1:61" s="443" customFormat="1" x14ac:dyDescent="0.25">
      <c r="A36" s="134"/>
      <c r="B36" s="469" t="s">
        <v>722</v>
      </c>
      <c r="C36" s="468" t="s">
        <v>714</v>
      </c>
      <c r="E36" s="408"/>
      <c r="G36" s="470"/>
      <c r="H36" s="416"/>
      <c r="I36" s="416"/>
      <c r="J36" s="416"/>
      <c r="K36" s="416"/>
      <c r="L36" s="407"/>
      <c r="N36" s="470"/>
      <c r="O36" s="416"/>
      <c r="P36" s="416"/>
      <c r="Q36" s="416"/>
      <c r="R36" s="416"/>
      <c r="S36" s="416"/>
      <c r="T36" s="407"/>
      <c r="V36" s="470"/>
      <c r="W36" s="416"/>
      <c r="X36" s="416"/>
      <c r="Y36" s="416"/>
      <c r="Z36" s="416"/>
      <c r="AA36" s="416"/>
      <c r="AB36" s="416"/>
      <c r="AC36" s="416"/>
      <c r="AD36" s="416"/>
      <c r="AE36" s="416"/>
      <c r="AF36" s="407"/>
      <c r="AH36" s="405"/>
      <c r="AI36" s="404"/>
      <c r="AJ36" s="404"/>
      <c r="AK36" s="404"/>
      <c r="AL36" s="404"/>
      <c r="AM36" s="420"/>
      <c r="AN36" s="430"/>
      <c r="AO36" s="469"/>
      <c r="AP36" s="425"/>
      <c r="AQ36" s="425"/>
      <c r="AR36" s="425"/>
      <c r="AS36" s="425"/>
      <c r="AT36" s="425"/>
      <c r="AU36" s="425"/>
      <c r="AV36" s="425"/>
      <c r="AW36" s="425"/>
      <c r="AX36" s="425"/>
      <c r="AY36" s="425"/>
      <c r="AZ36" s="425"/>
      <c r="BA36" s="425"/>
      <c r="BB36" s="425"/>
      <c r="BC36" s="425"/>
      <c r="BD36" s="425"/>
      <c r="BE36" s="425"/>
      <c r="BF36" s="425"/>
      <c r="BG36" s="468"/>
    </row>
    <row r="37" spans="1:61" x14ac:dyDescent="0.25">
      <c r="A37"/>
      <c r="B37" s="462"/>
      <c r="C37" s="463" t="s">
        <v>715</v>
      </c>
      <c r="D37" s="443"/>
      <c r="E37" s="424"/>
      <c r="F37" s="443"/>
      <c r="G37" s="462"/>
      <c r="H37" s="443"/>
      <c r="I37" s="443"/>
      <c r="J37" s="443"/>
      <c r="K37" s="443"/>
      <c r="L37" s="463"/>
      <c r="M37" s="443"/>
      <c r="N37" s="431"/>
      <c r="O37" s="134"/>
      <c r="P37" s="134"/>
      <c r="Q37" s="134"/>
      <c r="R37" s="134"/>
      <c r="S37" s="134"/>
      <c r="T37" s="434"/>
      <c r="U37" s="443"/>
      <c r="V37" s="431"/>
      <c r="W37" s="134"/>
      <c r="X37" s="134"/>
      <c r="Y37" s="134"/>
      <c r="Z37" s="134"/>
      <c r="AA37" s="134"/>
      <c r="AB37" s="134"/>
      <c r="AC37" s="134"/>
      <c r="AD37" s="134"/>
      <c r="AE37" s="134"/>
      <c r="AF37" s="434"/>
      <c r="AG37" s="443"/>
      <c r="AH37" s="423"/>
      <c r="AI37" s="430"/>
      <c r="AJ37" s="430"/>
      <c r="AK37" s="430"/>
      <c r="AL37" s="430"/>
      <c r="AM37" s="418"/>
      <c r="AN37" s="430"/>
      <c r="AO37" s="462"/>
      <c r="AP37" s="443"/>
      <c r="AQ37" s="443"/>
      <c r="AR37" s="443"/>
      <c r="AS37" s="443"/>
      <c r="AT37" s="443"/>
      <c r="AU37" s="443"/>
      <c r="AV37" s="443"/>
      <c r="AW37" s="443"/>
      <c r="AX37" s="443"/>
      <c r="AY37" s="443"/>
      <c r="AZ37" s="443"/>
      <c r="BA37" s="443"/>
      <c r="BB37" s="443"/>
      <c r="BC37" s="443"/>
      <c r="BD37" s="443"/>
      <c r="BE37" s="443"/>
      <c r="BF37" s="443"/>
      <c r="BG37" s="463"/>
      <c r="BH37" s="443"/>
      <c r="BI37" s="443"/>
    </row>
    <row r="38" spans="1:61" x14ac:dyDescent="0.25">
      <c r="A38"/>
      <c r="B38" s="462"/>
      <c r="C38" s="463" t="s">
        <v>716</v>
      </c>
      <c r="D38" s="443"/>
      <c r="E38" s="424"/>
      <c r="F38" s="443"/>
      <c r="G38" s="462"/>
      <c r="H38" s="443"/>
      <c r="I38" s="443"/>
      <c r="J38" s="443"/>
      <c r="K38" s="443"/>
      <c r="L38" s="463"/>
      <c r="M38" s="443"/>
      <c r="N38" s="431"/>
      <c r="O38" s="134"/>
      <c r="P38" s="134"/>
      <c r="Q38" s="134"/>
      <c r="R38" s="134"/>
      <c r="S38" s="134"/>
      <c r="T38" s="434"/>
      <c r="U38" s="443"/>
      <c r="V38" s="431"/>
      <c r="W38" s="134"/>
      <c r="X38" s="134"/>
      <c r="Y38" s="134"/>
      <c r="Z38" s="134"/>
      <c r="AA38" s="134"/>
      <c r="AB38" s="134"/>
      <c r="AC38" s="134"/>
      <c r="AD38" s="134"/>
      <c r="AE38" s="134"/>
      <c r="AF38" s="434"/>
      <c r="AG38" s="443"/>
      <c r="AH38" s="423"/>
      <c r="AI38" s="430"/>
      <c r="AJ38" s="430"/>
      <c r="AK38" s="430"/>
      <c r="AL38" s="430"/>
      <c r="AM38" s="418"/>
      <c r="AN38" s="430"/>
      <c r="AO38" s="462"/>
      <c r="AP38" s="443"/>
      <c r="AQ38" s="443"/>
      <c r="AR38" s="443"/>
      <c r="AS38" s="443"/>
      <c r="AT38" s="443"/>
      <c r="AU38" s="443"/>
      <c r="AV38" s="443"/>
      <c r="AW38" s="443"/>
      <c r="AX38" s="443"/>
      <c r="AY38" s="443"/>
      <c r="AZ38" s="443"/>
      <c r="BA38" s="443"/>
      <c r="BB38" s="443"/>
      <c r="BC38" s="443"/>
      <c r="BD38" s="443"/>
      <c r="BE38" s="443"/>
      <c r="BF38" s="443"/>
      <c r="BG38" s="463"/>
      <c r="BH38" s="443"/>
      <c r="BI38" s="443"/>
    </row>
    <row r="39" spans="1:61" x14ac:dyDescent="0.25">
      <c r="A39"/>
      <c r="B39" s="464"/>
      <c r="C39" s="465" t="s">
        <v>717</v>
      </c>
      <c r="D39" s="443"/>
      <c r="E39" s="424"/>
      <c r="F39" s="443"/>
      <c r="G39" s="464"/>
      <c r="H39" s="437"/>
      <c r="I39" s="437"/>
      <c r="J39" s="437"/>
      <c r="K39" s="437"/>
      <c r="L39" s="465"/>
      <c r="M39" s="443"/>
      <c r="N39" s="421"/>
      <c r="O39" s="426"/>
      <c r="P39" s="426"/>
      <c r="Q39" s="426"/>
      <c r="R39" s="426"/>
      <c r="S39" s="426"/>
      <c r="T39" s="440"/>
      <c r="U39" s="443"/>
      <c r="V39" s="421"/>
      <c r="W39" s="426"/>
      <c r="X39" s="426"/>
      <c r="Y39" s="426"/>
      <c r="Z39" s="426"/>
      <c r="AA39" s="426"/>
      <c r="AB39" s="426"/>
      <c r="AC39" s="426"/>
      <c r="AD39" s="426"/>
      <c r="AE39" s="426"/>
      <c r="AF39" s="440"/>
      <c r="AG39" s="443"/>
      <c r="AH39" s="433"/>
      <c r="AI39" s="428"/>
      <c r="AJ39" s="428"/>
      <c r="AK39" s="428"/>
      <c r="AL39" s="428"/>
      <c r="AM39" s="422"/>
      <c r="AN39" s="430"/>
      <c r="AO39" s="464"/>
      <c r="AP39" s="437"/>
      <c r="AQ39" s="437"/>
      <c r="AR39" s="437"/>
      <c r="AS39" s="437"/>
      <c r="AT39" s="437"/>
      <c r="AU39" s="437"/>
      <c r="AV39" s="437"/>
      <c r="AW39" s="437"/>
      <c r="AX39" s="437"/>
      <c r="AY39" s="437"/>
      <c r="AZ39" s="437"/>
      <c r="BA39" s="437"/>
      <c r="BB39" s="437"/>
      <c r="BC39" s="437"/>
      <c r="BD39" s="437"/>
      <c r="BE39" s="437"/>
      <c r="BF39" s="437"/>
      <c r="BG39" s="465"/>
      <c r="BH39" s="443"/>
      <c r="BI39" s="443"/>
    </row>
    <row r="40" spans="1:61" s="443" customFormat="1" x14ac:dyDescent="0.25">
      <c r="A40" s="134"/>
      <c r="B40" s="469" t="s">
        <v>723</v>
      </c>
      <c r="C40" s="468" t="s">
        <v>714</v>
      </c>
      <c r="E40" s="408"/>
      <c r="G40" s="470"/>
      <c r="H40" s="416"/>
      <c r="I40" s="416"/>
      <c r="J40" s="416"/>
      <c r="K40" s="416"/>
      <c r="L40" s="407"/>
      <c r="N40" s="470"/>
      <c r="O40" s="416"/>
      <c r="P40" s="416"/>
      <c r="Q40" s="416"/>
      <c r="R40" s="416"/>
      <c r="S40" s="416"/>
      <c r="T40" s="407"/>
      <c r="V40" s="470"/>
      <c r="W40" s="416"/>
      <c r="X40" s="416"/>
      <c r="Y40" s="416"/>
      <c r="Z40" s="416"/>
      <c r="AA40" s="416"/>
      <c r="AB40" s="416"/>
      <c r="AC40" s="416"/>
      <c r="AD40" s="416"/>
      <c r="AE40" s="416"/>
      <c r="AF40" s="407"/>
      <c r="AH40" s="405"/>
      <c r="AI40" s="404"/>
      <c r="AJ40" s="404"/>
      <c r="AK40" s="404"/>
      <c r="AL40" s="404"/>
      <c r="AM40" s="420"/>
      <c r="AN40" s="430"/>
      <c r="AO40" s="469"/>
      <c r="AP40" s="425"/>
      <c r="AQ40" s="425"/>
      <c r="AR40" s="425"/>
      <c r="AS40" s="425"/>
      <c r="AT40" s="425"/>
      <c r="AU40" s="425"/>
      <c r="AV40" s="425"/>
      <c r="AW40" s="425"/>
      <c r="AX40" s="425"/>
      <c r="AY40" s="425"/>
      <c r="AZ40" s="425"/>
      <c r="BA40" s="425"/>
      <c r="BB40" s="425"/>
      <c r="BC40" s="425"/>
      <c r="BD40" s="425"/>
      <c r="BE40" s="425"/>
      <c r="BF40" s="425"/>
      <c r="BG40" s="468"/>
    </row>
    <row r="41" spans="1:61" x14ac:dyDescent="0.25">
      <c r="A41"/>
      <c r="B41" s="462"/>
      <c r="C41" s="463" t="s">
        <v>715</v>
      </c>
      <c r="D41" s="443"/>
      <c r="E41" s="424"/>
      <c r="F41" s="443"/>
      <c r="G41" s="462"/>
      <c r="H41" s="443"/>
      <c r="I41" s="443"/>
      <c r="J41" s="443"/>
      <c r="K41" s="443"/>
      <c r="L41" s="463"/>
      <c r="M41" s="443"/>
      <c r="N41" s="431"/>
      <c r="O41" s="134"/>
      <c r="P41" s="134"/>
      <c r="Q41" s="134"/>
      <c r="R41" s="134"/>
      <c r="S41" s="134"/>
      <c r="T41" s="434"/>
      <c r="U41" s="443"/>
      <c r="V41" s="431"/>
      <c r="W41" s="134"/>
      <c r="X41" s="134"/>
      <c r="Y41" s="134"/>
      <c r="Z41" s="134"/>
      <c r="AA41" s="134"/>
      <c r="AB41" s="134"/>
      <c r="AC41" s="134"/>
      <c r="AD41" s="134"/>
      <c r="AE41" s="134"/>
      <c r="AF41" s="434"/>
      <c r="AG41" s="443"/>
      <c r="AH41" s="423"/>
      <c r="AI41" s="430"/>
      <c r="AJ41" s="430"/>
      <c r="AK41" s="430"/>
      <c r="AL41" s="430"/>
      <c r="AM41" s="418"/>
      <c r="AN41" s="430"/>
      <c r="AO41" s="462"/>
      <c r="AP41" s="443"/>
      <c r="AQ41" s="443"/>
      <c r="AR41" s="443"/>
      <c r="AS41" s="443"/>
      <c r="AT41" s="443"/>
      <c r="AU41" s="443"/>
      <c r="AV41" s="443"/>
      <c r="AW41" s="443"/>
      <c r="AX41" s="443"/>
      <c r="AY41" s="443"/>
      <c r="AZ41" s="443"/>
      <c r="BA41" s="443"/>
      <c r="BB41" s="443"/>
      <c r="BC41" s="443"/>
      <c r="BD41" s="443"/>
      <c r="BE41" s="443"/>
      <c r="BF41" s="443"/>
      <c r="BG41" s="463"/>
      <c r="BH41" s="443"/>
      <c r="BI41" s="443"/>
    </row>
    <row r="42" spans="1:61" x14ac:dyDescent="0.25">
      <c r="A42"/>
      <c r="B42" s="462"/>
      <c r="C42" s="463" t="s">
        <v>716</v>
      </c>
      <c r="D42" s="443"/>
      <c r="E42" s="424"/>
      <c r="F42" s="443"/>
      <c r="G42" s="462"/>
      <c r="H42" s="443"/>
      <c r="I42" s="443"/>
      <c r="J42" s="443"/>
      <c r="K42" s="443"/>
      <c r="L42" s="463"/>
      <c r="M42" s="443"/>
      <c r="N42" s="431"/>
      <c r="O42" s="134"/>
      <c r="P42" s="134"/>
      <c r="Q42" s="134"/>
      <c r="R42" s="134"/>
      <c r="S42" s="134"/>
      <c r="T42" s="434"/>
      <c r="U42" s="443"/>
      <c r="V42" s="431"/>
      <c r="W42" s="134"/>
      <c r="X42" s="134"/>
      <c r="Y42" s="134"/>
      <c r="Z42" s="134"/>
      <c r="AA42" s="134"/>
      <c r="AB42" s="134"/>
      <c r="AC42" s="134"/>
      <c r="AD42" s="134"/>
      <c r="AE42" s="134"/>
      <c r="AF42" s="434"/>
      <c r="AG42" s="443"/>
      <c r="AH42" s="423"/>
      <c r="AI42" s="430"/>
      <c r="AJ42" s="430"/>
      <c r="AK42" s="430"/>
      <c r="AL42" s="430"/>
      <c r="AM42" s="418"/>
      <c r="AN42" s="430"/>
      <c r="AO42" s="462"/>
      <c r="AP42" s="443"/>
      <c r="AQ42" s="443"/>
      <c r="AR42" s="443"/>
      <c r="AS42" s="443"/>
      <c r="AT42" s="443"/>
      <c r="AU42" s="443"/>
      <c r="AV42" s="443"/>
      <c r="AW42" s="443"/>
      <c r="AX42" s="443"/>
      <c r="AY42" s="443"/>
      <c r="AZ42" s="443"/>
      <c r="BA42" s="443"/>
      <c r="BB42" s="443"/>
      <c r="BC42" s="443"/>
      <c r="BD42" s="443"/>
      <c r="BE42" s="443"/>
      <c r="BF42" s="443"/>
      <c r="BG42" s="463"/>
      <c r="BH42" s="443"/>
      <c r="BI42" s="443"/>
    </row>
    <row r="43" spans="1:61" x14ac:dyDescent="0.25">
      <c r="A43"/>
      <c r="B43" s="464"/>
      <c r="C43" s="465" t="s">
        <v>717</v>
      </c>
      <c r="D43" s="443"/>
      <c r="E43" s="410"/>
      <c r="F43" s="443"/>
      <c r="G43" s="464"/>
      <c r="H43" s="437"/>
      <c r="I43" s="437"/>
      <c r="J43" s="437"/>
      <c r="K43" s="437"/>
      <c r="L43" s="465"/>
      <c r="M43" s="443"/>
      <c r="N43" s="421"/>
      <c r="O43" s="426"/>
      <c r="P43" s="426"/>
      <c r="Q43" s="426"/>
      <c r="R43" s="426"/>
      <c r="S43" s="426"/>
      <c r="T43" s="440"/>
      <c r="U43" s="443"/>
      <c r="V43" s="421"/>
      <c r="W43" s="426"/>
      <c r="X43" s="426"/>
      <c r="Y43" s="426"/>
      <c r="Z43" s="426"/>
      <c r="AA43" s="426"/>
      <c r="AB43" s="426"/>
      <c r="AC43" s="426"/>
      <c r="AD43" s="426"/>
      <c r="AE43" s="426"/>
      <c r="AF43" s="440"/>
      <c r="AG43" s="443"/>
      <c r="AH43" s="433"/>
      <c r="AI43" s="428"/>
      <c r="AJ43" s="428"/>
      <c r="AK43" s="428"/>
      <c r="AL43" s="428"/>
      <c r="AM43" s="422"/>
      <c r="AN43" s="430"/>
      <c r="AO43" s="464"/>
      <c r="AP43" s="437"/>
      <c r="AQ43" s="437"/>
      <c r="AR43" s="437"/>
      <c r="AS43" s="437"/>
      <c r="AT43" s="437"/>
      <c r="AU43" s="437"/>
      <c r="AV43" s="437"/>
      <c r="AW43" s="437"/>
      <c r="AX43" s="437"/>
      <c r="AY43" s="437"/>
      <c r="AZ43" s="437"/>
      <c r="BA43" s="437"/>
      <c r="BB43" s="437"/>
      <c r="BC43" s="437"/>
      <c r="BD43" s="437"/>
      <c r="BE43" s="437"/>
      <c r="BF43" s="437"/>
      <c r="BG43" s="465"/>
      <c r="BH43" s="443"/>
      <c r="BI43" s="443"/>
    </row>
    <row r="44" spans="1:61" x14ac:dyDescent="0.25">
      <c r="A44"/>
      <c r="B44" s="443"/>
      <c r="C44" s="443"/>
      <c r="D44" s="443"/>
      <c r="E44" s="443"/>
      <c r="F44" s="443"/>
      <c r="G44" s="443"/>
      <c r="H44" s="443"/>
      <c r="I44" s="443"/>
      <c r="J44" s="443"/>
      <c r="K44" s="443"/>
      <c r="L44" s="443"/>
      <c r="M44" s="443"/>
      <c r="N44" s="134"/>
      <c r="O44" s="134"/>
      <c r="P44" s="134"/>
      <c r="Q44" s="134"/>
      <c r="R44" s="134"/>
      <c r="S44" s="134"/>
      <c r="T44" s="134"/>
      <c r="U44" s="443"/>
      <c r="V44" s="134"/>
      <c r="W44" s="134"/>
      <c r="X44" s="134"/>
      <c r="Y44" s="134"/>
      <c r="Z44" s="134"/>
      <c r="AA44" s="134"/>
      <c r="AB44" s="134"/>
      <c r="AC44" s="134"/>
      <c r="AD44" s="134"/>
      <c r="AE44" s="134"/>
      <c r="AF44" s="134"/>
      <c r="AG44" s="443"/>
      <c r="AH44" s="443"/>
      <c r="AI44" s="443"/>
      <c r="AJ44" s="443"/>
      <c r="AK44" s="443"/>
      <c r="AL44" s="443"/>
      <c r="AM44" s="466"/>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row>
    <row r="45" spans="1:61" s="443" customFormat="1" x14ac:dyDescent="0.25">
      <c r="A45" s="134"/>
      <c r="B45" s="467" t="s">
        <v>724</v>
      </c>
      <c r="C45" s="468" t="s">
        <v>714</v>
      </c>
      <c r="E45" s="408" t="s">
        <v>764</v>
      </c>
      <c r="G45" s="470" t="s">
        <v>796</v>
      </c>
      <c r="H45" s="416"/>
      <c r="I45" s="416"/>
      <c r="J45" s="416"/>
      <c r="K45" s="416"/>
      <c r="L45" s="407"/>
      <c r="N45" s="470" t="s">
        <v>803</v>
      </c>
      <c r="O45" s="416"/>
      <c r="P45" s="416"/>
      <c r="Q45" s="416"/>
      <c r="R45" s="416"/>
      <c r="S45" s="416"/>
      <c r="T45" s="407"/>
      <c r="V45" s="470" t="s">
        <v>804</v>
      </c>
      <c r="W45" s="416"/>
      <c r="X45" s="416"/>
      <c r="Y45" s="416"/>
      <c r="Z45" s="416"/>
      <c r="AA45" s="416"/>
      <c r="AB45" s="416"/>
      <c r="AC45" s="416"/>
      <c r="AD45" s="416"/>
      <c r="AE45" s="416"/>
      <c r="AF45" s="407"/>
      <c r="AH45" s="405" t="s">
        <v>805</v>
      </c>
      <c r="AI45" s="404"/>
      <c r="AJ45" s="404"/>
      <c r="AK45" s="404"/>
      <c r="AL45" s="404"/>
      <c r="AM45" s="420"/>
      <c r="AN45" s="430"/>
      <c r="AO45" s="469" t="s">
        <v>806</v>
      </c>
      <c r="AP45" s="425"/>
      <c r="AQ45" s="425"/>
      <c r="AR45" s="425"/>
      <c r="AS45" s="425"/>
      <c r="AT45" s="425"/>
      <c r="AU45" s="425"/>
      <c r="AV45" s="425"/>
      <c r="AW45" s="425"/>
      <c r="AX45" s="425"/>
      <c r="AY45" s="425"/>
      <c r="AZ45" s="425"/>
      <c r="BA45" s="425"/>
      <c r="BB45" s="425"/>
      <c r="BC45" s="425"/>
      <c r="BD45" s="425"/>
      <c r="BE45" s="425"/>
      <c r="BF45" s="425"/>
      <c r="BG45" s="468"/>
    </row>
    <row r="46" spans="1:61" x14ac:dyDescent="0.25">
      <c r="A46"/>
      <c r="B46" s="462"/>
      <c r="C46" s="463" t="s">
        <v>715</v>
      </c>
      <c r="D46" s="443"/>
      <c r="E46" s="424"/>
      <c r="F46" s="443"/>
      <c r="G46" s="462"/>
      <c r="H46" s="443"/>
      <c r="I46" s="443"/>
      <c r="J46" s="443"/>
      <c r="K46" s="443"/>
      <c r="L46" s="463"/>
      <c r="M46" s="443"/>
      <c r="N46" s="431"/>
      <c r="O46" s="134"/>
      <c r="P46" s="134"/>
      <c r="Q46" s="134"/>
      <c r="R46" s="134"/>
      <c r="S46" s="134"/>
      <c r="T46" s="434"/>
      <c r="U46" s="443"/>
      <c r="V46" s="431"/>
      <c r="W46" s="134"/>
      <c r="X46" s="134"/>
      <c r="Y46" s="134"/>
      <c r="Z46" s="134"/>
      <c r="AA46" s="134"/>
      <c r="AB46" s="134"/>
      <c r="AC46" s="134"/>
      <c r="AD46" s="134"/>
      <c r="AE46" s="134"/>
      <c r="AF46" s="434"/>
      <c r="AG46" s="443"/>
      <c r="AH46" s="423"/>
      <c r="AI46" s="430"/>
      <c r="AJ46" s="430"/>
      <c r="AK46" s="430"/>
      <c r="AL46" s="430"/>
      <c r="AM46" s="418"/>
      <c r="AN46" s="430"/>
      <c r="AO46" s="462"/>
      <c r="AP46" s="443"/>
      <c r="AQ46" s="443"/>
      <c r="AR46" s="443"/>
      <c r="AS46" s="443"/>
      <c r="AT46" s="443"/>
      <c r="AU46" s="443"/>
      <c r="AV46" s="443"/>
      <c r="AW46" s="443"/>
      <c r="AX46" s="443"/>
      <c r="AY46" s="443"/>
      <c r="AZ46" s="443"/>
      <c r="BA46" s="443"/>
      <c r="BB46" s="443"/>
      <c r="BC46" s="443"/>
      <c r="BD46" s="443"/>
      <c r="BE46" s="443"/>
      <c r="BF46" s="443"/>
      <c r="BG46" s="463"/>
      <c r="BH46" s="443"/>
      <c r="BI46" s="443"/>
    </row>
    <row r="47" spans="1:61" x14ac:dyDescent="0.25">
      <c r="A47"/>
      <c r="B47" s="462"/>
      <c r="C47" s="463" t="s">
        <v>716</v>
      </c>
      <c r="D47" s="443"/>
      <c r="E47" s="424"/>
      <c r="F47" s="443"/>
      <c r="G47" s="462"/>
      <c r="H47" s="443"/>
      <c r="I47" s="443"/>
      <c r="J47" s="443"/>
      <c r="K47" s="443"/>
      <c r="L47" s="463"/>
      <c r="M47" s="443"/>
      <c r="N47" s="431"/>
      <c r="O47" s="134"/>
      <c r="P47" s="134"/>
      <c r="Q47" s="134"/>
      <c r="R47" s="134"/>
      <c r="S47" s="134"/>
      <c r="T47" s="434"/>
      <c r="U47" s="443"/>
      <c r="V47" s="431"/>
      <c r="W47" s="134"/>
      <c r="X47" s="134"/>
      <c r="Y47" s="134"/>
      <c r="Z47" s="134"/>
      <c r="AA47" s="134"/>
      <c r="AB47" s="134"/>
      <c r="AC47" s="134"/>
      <c r="AD47" s="134"/>
      <c r="AE47" s="134"/>
      <c r="AF47" s="434"/>
      <c r="AG47" s="443"/>
      <c r="AH47" s="423"/>
      <c r="AI47" s="430"/>
      <c r="AJ47" s="430"/>
      <c r="AK47" s="430"/>
      <c r="AL47" s="430"/>
      <c r="AM47" s="418"/>
      <c r="AN47" s="430"/>
      <c r="AO47" s="462"/>
      <c r="AP47" s="443"/>
      <c r="AQ47" s="443"/>
      <c r="AR47" s="443"/>
      <c r="AS47" s="443"/>
      <c r="AT47" s="443"/>
      <c r="AU47" s="443"/>
      <c r="AV47" s="443"/>
      <c r="AW47" s="443"/>
      <c r="AX47" s="443"/>
      <c r="AY47" s="443"/>
      <c r="AZ47" s="443"/>
      <c r="BA47" s="443"/>
      <c r="BB47" s="443"/>
      <c r="BC47" s="443"/>
      <c r="BD47" s="443"/>
      <c r="BE47" s="443"/>
      <c r="BF47" s="443"/>
      <c r="BG47" s="463"/>
      <c r="BH47" s="443"/>
      <c r="BI47" s="443"/>
    </row>
    <row r="48" spans="1:61" x14ac:dyDescent="0.25">
      <c r="A48"/>
      <c r="B48" s="462"/>
      <c r="C48" s="465" t="s">
        <v>717</v>
      </c>
      <c r="D48" s="443"/>
      <c r="E48" s="424"/>
      <c r="F48" s="443"/>
      <c r="G48" s="462"/>
      <c r="H48" s="443"/>
      <c r="I48" s="443"/>
      <c r="J48" s="443"/>
      <c r="K48" s="443"/>
      <c r="L48" s="463"/>
      <c r="M48" s="443"/>
      <c r="N48" s="431"/>
      <c r="O48" s="134"/>
      <c r="P48" s="134"/>
      <c r="Q48" s="134"/>
      <c r="R48" s="134"/>
      <c r="S48" s="134"/>
      <c r="T48" s="434"/>
      <c r="U48" s="443"/>
      <c r="V48" s="431"/>
      <c r="W48" s="134"/>
      <c r="X48" s="134"/>
      <c r="Y48" s="134"/>
      <c r="Z48" s="134"/>
      <c r="AA48" s="134"/>
      <c r="AB48" s="134"/>
      <c r="AC48" s="134"/>
      <c r="AD48" s="134"/>
      <c r="AE48" s="134"/>
      <c r="AF48" s="434"/>
      <c r="AG48" s="443"/>
      <c r="AH48" s="423"/>
      <c r="AI48" s="430"/>
      <c r="AJ48" s="430"/>
      <c r="AK48" s="430"/>
      <c r="AL48" s="430"/>
      <c r="AM48" s="418"/>
      <c r="AN48" s="430"/>
      <c r="AO48" s="462"/>
      <c r="AP48" s="443"/>
      <c r="AQ48" s="443"/>
      <c r="AR48" s="443"/>
      <c r="AS48" s="443"/>
      <c r="AT48" s="443"/>
      <c r="AU48" s="443"/>
      <c r="AV48" s="443"/>
      <c r="AW48" s="443"/>
      <c r="AX48" s="443"/>
      <c r="AY48" s="443"/>
      <c r="AZ48" s="443"/>
      <c r="BA48" s="443"/>
      <c r="BB48" s="443"/>
      <c r="BC48" s="443"/>
      <c r="BD48" s="443"/>
      <c r="BE48" s="443"/>
      <c r="BF48" s="443"/>
      <c r="BG48" s="463"/>
      <c r="BH48" s="443"/>
      <c r="BI48" s="443"/>
    </row>
    <row r="49" spans="1:61" s="443" customFormat="1" x14ac:dyDescent="0.25">
      <c r="A49" s="134"/>
      <c r="B49" s="469" t="s">
        <v>725</v>
      </c>
      <c r="C49" s="468" t="s">
        <v>714</v>
      </c>
      <c r="E49" s="417"/>
      <c r="G49" s="470"/>
      <c r="H49" s="416"/>
      <c r="I49" s="416"/>
      <c r="J49" s="416"/>
      <c r="K49" s="416"/>
      <c r="L49" s="407"/>
      <c r="N49" s="470"/>
      <c r="O49" s="416"/>
      <c r="P49" s="416"/>
      <c r="Q49" s="416"/>
      <c r="R49" s="416"/>
      <c r="S49" s="416"/>
      <c r="T49" s="407"/>
      <c r="V49" s="470"/>
      <c r="W49" s="416"/>
      <c r="X49" s="416"/>
      <c r="Y49" s="416"/>
      <c r="Z49" s="416"/>
      <c r="AA49" s="416"/>
      <c r="AB49" s="416"/>
      <c r="AC49" s="416"/>
      <c r="AD49" s="416"/>
      <c r="AE49" s="416"/>
      <c r="AF49" s="407"/>
      <c r="AH49" s="405"/>
      <c r="AI49" s="404"/>
      <c r="AJ49" s="404"/>
      <c r="AK49" s="404"/>
      <c r="AL49" s="404"/>
      <c r="AM49" s="420"/>
      <c r="AN49" s="430"/>
      <c r="AO49" s="469"/>
      <c r="AP49" s="425"/>
      <c r="AQ49" s="425"/>
      <c r="AR49" s="425"/>
      <c r="AS49" s="425"/>
      <c r="AT49" s="425"/>
      <c r="AU49" s="425"/>
      <c r="AV49" s="425"/>
      <c r="AW49" s="425"/>
      <c r="AX49" s="425"/>
      <c r="AY49" s="425"/>
      <c r="AZ49" s="425"/>
      <c r="BA49" s="425"/>
      <c r="BB49" s="425"/>
      <c r="BC49" s="425"/>
      <c r="BD49" s="425"/>
      <c r="BE49" s="425"/>
      <c r="BF49" s="425"/>
      <c r="BG49" s="468"/>
    </row>
    <row r="50" spans="1:61" x14ac:dyDescent="0.25">
      <c r="A50"/>
      <c r="B50" s="462"/>
      <c r="C50" s="463" t="s">
        <v>715</v>
      </c>
      <c r="D50" s="443"/>
      <c r="E50" s="415"/>
      <c r="F50" s="443"/>
      <c r="G50" s="431"/>
      <c r="H50" s="134"/>
      <c r="I50" s="134"/>
      <c r="J50" s="134"/>
      <c r="K50" s="134"/>
      <c r="L50" s="434"/>
      <c r="M50" s="443"/>
      <c r="N50" s="431"/>
      <c r="O50" s="134"/>
      <c r="P50" s="134"/>
      <c r="Q50" s="134"/>
      <c r="R50" s="134"/>
      <c r="S50" s="134"/>
      <c r="T50" s="434"/>
      <c r="U50" s="443"/>
      <c r="V50" s="431"/>
      <c r="W50" s="134"/>
      <c r="X50" s="134"/>
      <c r="Y50" s="134"/>
      <c r="Z50" s="134"/>
      <c r="AA50" s="134"/>
      <c r="AB50" s="134"/>
      <c r="AC50" s="134"/>
      <c r="AD50" s="134"/>
      <c r="AE50" s="134"/>
      <c r="AF50" s="434"/>
      <c r="AG50" s="443"/>
      <c r="AH50" s="423"/>
      <c r="AI50" s="430"/>
      <c r="AJ50" s="430"/>
      <c r="AK50" s="430"/>
      <c r="AL50" s="430"/>
      <c r="AM50" s="418"/>
      <c r="AN50" s="430"/>
      <c r="AO50" s="462"/>
      <c r="AP50" s="443"/>
      <c r="AQ50" s="443"/>
      <c r="AR50" s="443"/>
      <c r="AS50" s="443"/>
      <c r="AT50" s="443"/>
      <c r="AU50" s="443"/>
      <c r="AV50" s="443"/>
      <c r="AW50" s="443"/>
      <c r="AX50" s="443"/>
      <c r="AY50" s="443"/>
      <c r="AZ50" s="443"/>
      <c r="BA50" s="443"/>
      <c r="BB50" s="443"/>
      <c r="BC50" s="443"/>
      <c r="BD50" s="443"/>
      <c r="BE50" s="443"/>
      <c r="BF50" s="443"/>
      <c r="BG50" s="463"/>
      <c r="BH50" s="443"/>
      <c r="BI50" s="443"/>
    </row>
    <row r="51" spans="1:61" x14ac:dyDescent="0.25">
      <c r="A51"/>
      <c r="B51" s="462"/>
      <c r="C51" s="463" t="s">
        <v>716</v>
      </c>
      <c r="D51" s="443"/>
      <c r="E51" s="415"/>
      <c r="F51" s="443"/>
      <c r="G51" s="431"/>
      <c r="H51" s="134"/>
      <c r="I51" s="134"/>
      <c r="J51" s="134"/>
      <c r="K51" s="134"/>
      <c r="L51" s="434"/>
      <c r="M51" s="443"/>
      <c r="N51" s="431"/>
      <c r="O51" s="134"/>
      <c r="P51" s="134"/>
      <c r="Q51" s="134"/>
      <c r="R51" s="134"/>
      <c r="S51" s="134"/>
      <c r="T51" s="434"/>
      <c r="U51" s="443"/>
      <c r="V51" s="431"/>
      <c r="W51" s="134"/>
      <c r="X51" s="134"/>
      <c r="Y51" s="134"/>
      <c r="Z51" s="134"/>
      <c r="AA51" s="134"/>
      <c r="AB51" s="134"/>
      <c r="AC51" s="134"/>
      <c r="AD51" s="134"/>
      <c r="AE51" s="134"/>
      <c r="AF51" s="434"/>
      <c r="AG51" s="443"/>
      <c r="AH51" s="423"/>
      <c r="AI51" s="430"/>
      <c r="AJ51" s="430"/>
      <c r="AK51" s="430"/>
      <c r="AL51" s="430"/>
      <c r="AM51" s="418"/>
      <c r="AN51" s="430"/>
      <c r="AO51" s="462"/>
      <c r="AP51" s="443"/>
      <c r="AQ51" s="443"/>
      <c r="AR51" s="443"/>
      <c r="AS51" s="443"/>
      <c r="AT51" s="443"/>
      <c r="AU51" s="443"/>
      <c r="AV51" s="443"/>
      <c r="AW51" s="443"/>
      <c r="AX51" s="443"/>
      <c r="AY51" s="443"/>
      <c r="AZ51" s="443"/>
      <c r="BA51" s="443"/>
      <c r="BB51" s="443"/>
      <c r="BC51" s="443"/>
      <c r="BD51" s="443"/>
      <c r="BE51" s="443"/>
      <c r="BF51" s="443"/>
      <c r="BG51" s="463"/>
      <c r="BH51" s="443"/>
      <c r="BI51" s="443"/>
    </row>
    <row r="52" spans="1:61" x14ac:dyDescent="0.25">
      <c r="A52"/>
      <c r="B52" s="464"/>
      <c r="C52" s="465" t="s">
        <v>717</v>
      </c>
      <c r="D52" s="443"/>
      <c r="E52" s="406"/>
      <c r="F52" s="443"/>
      <c r="G52" s="421"/>
      <c r="H52" s="426"/>
      <c r="I52" s="426"/>
      <c r="J52" s="426"/>
      <c r="K52" s="426"/>
      <c r="L52" s="440"/>
      <c r="M52" s="443"/>
      <c r="N52" s="421"/>
      <c r="O52" s="426"/>
      <c r="P52" s="426"/>
      <c r="Q52" s="426"/>
      <c r="R52" s="426"/>
      <c r="S52" s="426"/>
      <c r="T52" s="440"/>
      <c r="U52" s="443"/>
      <c r="V52" s="421"/>
      <c r="W52" s="426"/>
      <c r="X52" s="426"/>
      <c r="Y52" s="426"/>
      <c r="Z52" s="426"/>
      <c r="AA52" s="426"/>
      <c r="AB52" s="426"/>
      <c r="AC52" s="426"/>
      <c r="AD52" s="426"/>
      <c r="AE52" s="426"/>
      <c r="AF52" s="440"/>
      <c r="AG52" s="443"/>
      <c r="AH52" s="433"/>
      <c r="AI52" s="428"/>
      <c r="AJ52" s="428"/>
      <c r="AK52" s="428"/>
      <c r="AL52" s="428"/>
      <c r="AM52" s="422"/>
      <c r="AN52" s="430"/>
      <c r="AO52" s="464"/>
      <c r="AP52" s="437"/>
      <c r="AQ52" s="437"/>
      <c r="AR52" s="437"/>
      <c r="AS52" s="437"/>
      <c r="AT52" s="437"/>
      <c r="AU52" s="437"/>
      <c r="AV52" s="437"/>
      <c r="AW52" s="437"/>
      <c r="AX52" s="437"/>
      <c r="AY52" s="437"/>
      <c r="AZ52" s="437"/>
      <c r="BA52" s="437"/>
      <c r="BB52" s="437"/>
      <c r="BC52" s="437"/>
      <c r="BD52" s="437"/>
      <c r="BE52" s="437"/>
      <c r="BF52" s="437"/>
      <c r="BG52" s="465"/>
      <c r="BH52" s="443"/>
      <c r="BI52" s="443"/>
    </row>
    <row r="53" spans="1:61" s="443" customFormat="1" x14ac:dyDescent="0.25">
      <c r="A53" s="134"/>
      <c r="B53" s="469" t="s">
        <v>726</v>
      </c>
      <c r="C53" s="468" t="s">
        <v>714</v>
      </c>
      <c r="E53" s="408"/>
      <c r="G53" s="469"/>
      <c r="H53" s="425"/>
      <c r="I53" s="425"/>
      <c r="J53" s="425"/>
      <c r="K53" s="425"/>
      <c r="L53" s="468"/>
      <c r="N53" s="469"/>
      <c r="O53" s="425"/>
      <c r="P53" s="425"/>
      <c r="Q53" s="425"/>
      <c r="R53" s="425"/>
      <c r="S53" s="425"/>
      <c r="T53" s="468"/>
      <c r="V53" s="469"/>
      <c r="W53" s="425"/>
      <c r="X53" s="425"/>
      <c r="Y53" s="425"/>
      <c r="Z53" s="425"/>
      <c r="AA53" s="425"/>
      <c r="AB53" s="425"/>
      <c r="AC53" s="425"/>
      <c r="AD53" s="425"/>
      <c r="AE53" s="425"/>
      <c r="AF53" s="407"/>
      <c r="AH53" s="405"/>
      <c r="AI53" s="404"/>
      <c r="AJ53" s="404"/>
      <c r="AK53" s="404"/>
      <c r="AL53" s="404"/>
      <c r="AM53" s="420"/>
      <c r="AN53" s="430"/>
      <c r="AO53" s="469"/>
      <c r="AP53" s="425"/>
      <c r="AQ53" s="425"/>
      <c r="AR53" s="425"/>
      <c r="AS53" s="425"/>
      <c r="AT53" s="425"/>
      <c r="AU53" s="425"/>
      <c r="AV53" s="425"/>
      <c r="AW53" s="425"/>
      <c r="AX53" s="425"/>
      <c r="AY53" s="425"/>
      <c r="AZ53" s="425"/>
      <c r="BA53" s="425"/>
      <c r="BB53" s="425"/>
      <c r="BC53" s="425"/>
      <c r="BD53" s="425"/>
      <c r="BE53" s="425"/>
      <c r="BF53" s="425"/>
      <c r="BG53" s="468"/>
    </row>
    <row r="54" spans="1:61" x14ac:dyDescent="0.25">
      <c r="A54"/>
      <c r="B54" s="462"/>
      <c r="C54" s="463" t="s">
        <v>715</v>
      </c>
      <c r="D54" s="443"/>
      <c r="E54" s="424"/>
      <c r="F54" s="443"/>
      <c r="G54" s="462"/>
      <c r="H54" s="443"/>
      <c r="I54" s="443"/>
      <c r="J54" s="443"/>
      <c r="K54" s="443"/>
      <c r="L54" s="463"/>
      <c r="M54" s="443"/>
      <c r="N54" s="462"/>
      <c r="O54" s="443"/>
      <c r="P54" s="443"/>
      <c r="Q54" s="443"/>
      <c r="R54" s="443"/>
      <c r="S54" s="443"/>
      <c r="T54" s="463"/>
      <c r="U54" s="443"/>
      <c r="V54" s="462"/>
      <c r="W54" s="443"/>
      <c r="X54" s="443"/>
      <c r="Y54" s="443"/>
      <c r="Z54" s="443"/>
      <c r="AA54" s="443"/>
      <c r="AB54" s="443"/>
      <c r="AC54" s="443"/>
      <c r="AD54" s="443"/>
      <c r="AE54" s="443"/>
      <c r="AF54" s="434"/>
      <c r="AG54" s="443"/>
      <c r="AH54" s="423"/>
      <c r="AI54" s="443"/>
      <c r="AJ54" s="443"/>
      <c r="AK54" s="443"/>
      <c r="AL54" s="443"/>
      <c r="AM54" s="463"/>
      <c r="AN54" s="443"/>
      <c r="AO54" s="462"/>
      <c r="AP54" s="443"/>
      <c r="AQ54" s="443"/>
      <c r="AR54" s="443"/>
      <c r="AS54" s="443"/>
      <c r="AT54" s="443"/>
      <c r="AU54" s="443"/>
      <c r="AV54" s="443"/>
      <c r="AW54" s="443"/>
      <c r="AX54" s="443"/>
      <c r="AY54" s="443"/>
      <c r="AZ54" s="443"/>
      <c r="BA54" s="443"/>
      <c r="BB54" s="443"/>
      <c r="BC54" s="443"/>
      <c r="BD54" s="443"/>
      <c r="BE54" s="443"/>
      <c r="BF54" s="443"/>
      <c r="BG54" s="463"/>
      <c r="BH54" s="443"/>
      <c r="BI54" s="443"/>
    </row>
    <row r="55" spans="1:61" x14ac:dyDescent="0.25">
      <c r="A55"/>
      <c r="B55" s="462"/>
      <c r="C55" s="463" t="s">
        <v>716</v>
      </c>
      <c r="D55" s="443"/>
      <c r="E55" s="424"/>
      <c r="F55" s="443"/>
      <c r="G55" s="462"/>
      <c r="H55" s="443"/>
      <c r="I55" s="443"/>
      <c r="J55" s="443"/>
      <c r="K55" s="443"/>
      <c r="L55" s="463"/>
      <c r="M55" s="443"/>
      <c r="N55" s="462"/>
      <c r="O55" s="443"/>
      <c r="P55" s="443"/>
      <c r="Q55" s="443"/>
      <c r="R55" s="443"/>
      <c r="S55" s="443"/>
      <c r="T55" s="463"/>
      <c r="U55" s="443"/>
      <c r="V55" s="462"/>
      <c r="W55" s="443"/>
      <c r="X55" s="443"/>
      <c r="Y55" s="443"/>
      <c r="Z55" s="443"/>
      <c r="AA55" s="443"/>
      <c r="AB55" s="443"/>
      <c r="AC55" s="443"/>
      <c r="AD55" s="443"/>
      <c r="AE55" s="443"/>
      <c r="AF55" s="434"/>
      <c r="AG55" s="443"/>
      <c r="AH55" s="423"/>
      <c r="AI55" s="443"/>
      <c r="AJ55" s="443"/>
      <c r="AK55" s="443"/>
      <c r="AL55" s="443"/>
      <c r="AM55" s="463"/>
      <c r="AN55" s="443"/>
      <c r="AO55" s="462"/>
      <c r="AP55" s="443"/>
      <c r="AQ55" s="443"/>
      <c r="AR55" s="443"/>
      <c r="AS55" s="443"/>
      <c r="AT55" s="443"/>
      <c r="AU55" s="443"/>
      <c r="AV55" s="443"/>
      <c r="AW55" s="443"/>
      <c r="AX55" s="443"/>
      <c r="AY55" s="443"/>
      <c r="AZ55" s="443"/>
      <c r="BA55" s="443"/>
      <c r="BB55" s="443"/>
      <c r="BC55" s="443"/>
      <c r="BD55" s="443"/>
      <c r="BE55" s="443"/>
      <c r="BF55" s="443"/>
      <c r="BG55" s="463"/>
      <c r="BH55" s="443"/>
      <c r="BI55" s="443"/>
    </row>
    <row r="56" spans="1:61" x14ac:dyDescent="0.25">
      <c r="A56"/>
      <c r="B56" s="464"/>
      <c r="C56" s="465" t="s">
        <v>717</v>
      </c>
      <c r="D56" s="443"/>
      <c r="E56" s="410"/>
      <c r="F56" s="443"/>
      <c r="G56" s="464"/>
      <c r="H56" s="437"/>
      <c r="I56" s="437"/>
      <c r="J56" s="437"/>
      <c r="K56" s="437"/>
      <c r="L56" s="465"/>
      <c r="M56" s="443"/>
      <c r="N56" s="464"/>
      <c r="O56" s="437"/>
      <c r="P56" s="437"/>
      <c r="Q56" s="437"/>
      <c r="R56" s="437"/>
      <c r="S56" s="437"/>
      <c r="T56" s="465"/>
      <c r="U56" s="443"/>
      <c r="V56" s="464"/>
      <c r="W56" s="437"/>
      <c r="X56" s="437"/>
      <c r="Y56" s="437"/>
      <c r="Z56" s="437"/>
      <c r="AA56" s="437"/>
      <c r="AB56" s="437"/>
      <c r="AC56" s="437"/>
      <c r="AD56" s="437"/>
      <c r="AE56" s="437"/>
      <c r="AF56" s="440"/>
      <c r="AG56" s="443"/>
      <c r="AH56" s="433"/>
      <c r="AI56" s="428"/>
      <c r="AJ56" s="428"/>
      <c r="AK56" s="428"/>
      <c r="AL56" s="428"/>
      <c r="AM56" s="422"/>
      <c r="AN56" s="430"/>
      <c r="AO56" s="464"/>
      <c r="AP56" s="437"/>
      <c r="AQ56" s="437"/>
      <c r="AR56" s="437"/>
      <c r="AS56" s="437"/>
      <c r="AT56" s="437"/>
      <c r="AU56" s="437"/>
      <c r="AV56" s="437"/>
      <c r="AW56" s="437"/>
      <c r="AX56" s="437"/>
      <c r="AY56" s="437"/>
      <c r="AZ56" s="437"/>
      <c r="BA56" s="437"/>
      <c r="BB56" s="437"/>
      <c r="BC56" s="437"/>
      <c r="BD56" s="437"/>
      <c r="BE56" s="437"/>
      <c r="BF56" s="437"/>
      <c r="BG56" s="465"/>
      <c r="BH56" s="443"/>
      <c r="BI56" s="443"/>
    </row>
    <row r="57" spans="1:61" s="443" customFormat="1" x14ac:dyDescent="0.25">
      <c r="A57" s="134"/>
      <c r="B57" s="469" t="s">
        <v>727</v>
      </c>
      <c r="C57" s="468" t="s">
        <v>714</v>
      </c>
      <c r="E57" s="408"/>
      <c r="G57" s="469"/>
      <c r="H57" s="425"/>
      <c r="I57" s="425"/>
      <c r="J57" s="425"/>
      <c r="K57" s="425"/>
      <c r="L57" s="468"/>
      <c r="N57" s="469"/>
      <c r="O57" s="425"/>
      <c r="P57" s="425"/>
      <c r="Q57" s="425"/>
      <c r="R57" s="425"/>
      <c r="S57" s="425"/>
      <c r="T57" s="468"/>
      <c r="V57" s="469"/>
      <c r="W57" s="425"/>
      <c r="X57" s="425"/>
      <c r="Y57" s="425"/>
      <c r="Z57" s="425"/>
      <c r="AA57" s="425"/>
      <c r="AB57" s="425"/>
      <c r="AC57" s="425"/>
      <c r="AD57" s="425"/>
      <c r="AE57" s="425"/>
      <c r="AF57" s="407"/>
      <c r="AH57" s="405"/>
      <c r="AI57" s="404"/>
      <c r="AJ57" s="404"/>
      <c r="AK57" s="404"/>
      <c r="AL57" s="404"/>
      <c r="AM57" s="420"/>
      <c r="AN57" s="430"/>
      <c r="AO57" s="469"/>
      <c r="AP57" s="425"/>
      <c r="AQ57" s="425"/>
      <c r="AR57" s="425"/>
      <c r="AS57" s="425"/>
      <c r="AT57" s="425"/>
      <c r="AU57" s="425"/>
      <c r="AV57" s="425"/>
      <c r="AW57" s="425"/>
      <c r="AX57" s="425"/>
      <c r="AY57" s="425"/>
      <c r="AZ57" s="425"/>
      <c r="BA57" s="425"/>
      <c r="BB57" s="425"/>
      <c r="BC57" s="425"/>
      <c r="BD57" s="425"/>
      <c r="BE57" s="425"/>
      <c r="BF57" s="425"/>
      <c r="BG57" s="468"/>
    </row>
    <row r="58" spans="1:61" x14ac:dyDescent="0.25">
      <c r="A58"/>
      <c r="B58" s="462"/>
      <c r="C58" s="463" t="s">
        <v>715</v>
      </c>
      <c r="D58" s="443"/>
      <c r="E58" s="424"/>
      <c r="F58" s="443"/>
      <c r="G58" s="462"/>
      <c r="H58" s="443"/>
      <c r="I58" s="443"/>
      <c r="J58" s="443"/>
      <c r="K58" s="443"/>
      <c r="L58" s="463"/>
      <c r="M58" s="443"/>
      <c r="N58" s="462"/>
      <c r="O58" s="443"/>
      <c r="P58" s="443"/>
      <c r="Q58" s="443"/>
      <c r="R58" s="443"/>
      <c r="S58" s="443"/>
      <c r="T58" s="463"/>
      <c r="U58" s="443"/>
      <c r="V58" s="462"/>
      <c r="W58" s="443"/>
      <c r="X58" s="443"/>
      <c r="Y58" s="443"/>
      <c r="Z58" s="443"/>
      <c r="AA58" s="443"/>
      <c r="AB58" s="443"/>
      <c r="AC58" s="443"/>
      <c r="AD58" s="443"/>
      <c r="AE58" s="443"/>
      <c r="AF58" s="434"/>
      <c r="AG58" s="443"/>
      <c r="AH58" s="423"/>
      <c r="AI58" s="443"/>
      <c r="AJ58" s="443"/>
      <c r="AK58" s="443"/>
      <c r="AL58" s="443"/>
      <c r="AM58" s="463"/>
      <c r="AN58" s="443"/>
      <c r="AO58" s="462"/>
      <c r="AP58" s="443"/>
      <c r="AQ58" s="443"/>
      <c r="AR58" s="443"/>
      <c r="AS58" s="443"/>
      <c r="AT58" s="443"/>
      <c r="AU58" s="443"/>
      <c r="AV58" s="443"/>
      <c r="AW58" s="443"/>
      <c r="AX58" s="443"/>
      <c r="AY58" s="443"/>
      <c r="AZ58" s="443"/>
      <c r="BA58" s="443"/>
      <c r="BB58" s="443"/>
      <c r="BC58" s="443"/>
      <c r="BD58" s="443"/>
      <c r="BE58" s="443"/>
      <c r="BF58" s="443"/>
      <c r="BG58" s="463"/>
      <c r="BH58" s="443"/>
      <c r="BI58" s="443"/>
    </row>
    <row r="59" spans="1:61" x14ac:dyDescent="0.25">
      <c r="A59"/>
      <c r="B59" s="462"/>
      <c r="C59" s="463" t="s">
        <v>716</v>
      </c>
      <c r="D59" s="443"/>
      <c r="E59" s="424"/>
      <c r="F59" s="443"/>
      <c r="G59" s="462"/>
      <c r="H59" s="443"/>
      <c r="I59" s="443"/>
      <c r="J59" s="443"/>
      <c r="K59" s="443"/>
      <c r="L59" s="463"/>
      <c r="M59" s="443"/>
      <c r="N59" s="462"/>
      <c r="O59" s="443"/>
      <c r="P59" s="443"/>
      <c r="Q59" s="443"/>
      <c r="R59" s="443"/>
      <c r="S59" s="443"/>
      <c r="T59" s="463"/>
      <c r="U59" s="443"/>
      <c r="V59" s="462"/>
      <c r="W59" s="443"/>
      <c r="X59" s="443"/>
      <c r="Y59" s="443"/>
      <c r="Z59" s="443"/>
      <c r="AA59" s="443"/>
      <c r="AB59" s="443"/>
      <c r="AC59" s="443"/>
      <c r="AD59" s="443"/>
      <c r="AE59" s="443"/>
      <c r="AF59" s="434"/>
      <c r="AG59" s="443"/>
      <c r="AH59" s="423"/>
      <c r="AI59" s="443"/>
      <c r="AJ59" s="443"/>
      <c r="AK59" s="443"/>
      <c r="AL59" s="443"/>
      <c r="AM59" s="463"/>
      <c r="AN59" s="443"/>
      <c r="AO59" s="462"/>
      <c r="AP59" s="443"/>
      <c r="AQ59" s="443"/>
      <c r="AR59" s="443"/>
      <c r="AS59" s="443"/>
      <c r="AT59" s="443"/>
      <c r="AU59" s="443"/>
      <c r="AV59" s="443"/>
      <c r="AW59" s="443"/>
      <c r="AX59" s="443"/>
      <c r="AY59" s="443"/>
      <c r="AZ59" s="443"/>
      <c r="BA59" s="443"/>
      <c r="BB59" s="443"/>
      <c r="BC59" s="443"/>
      <c r="BD59" s="443"/>
      <c r="BE59" s="443"/>
      <c r="BF59" s="443"/>
      <c r="BG59" s="463"/>
      <c r="BH59" s="443"/>
      <c r="BI59" s="443"/>
    </row>
    <row r="60" spans="1:61" x14ac:dyDescent="0.25">
      <c r="A60"/>
      <c r="B60" s="464"/>
      <c r="C60" s="465" t="s">
        <v>717</v>
      </c>
      <c r="D60" s="443"/>
      <c r="E60" s="410"/>
      <c r="F60" s="443"/>
      <c r="G60" s="464"/>
      <c r="H60" s="437"/>
      <c r="I60" s="437"/>
      <c r="J60" s="437"/>
      <c r="K60" s="437"/>
      <c r="L60" s="465"/>
      <c r="M60" s="443"/>
      <c r="N60" s="464"/>
      <c r="O60" s="437"/>
      <c r="P60" s="437"/>
      <c r="Q60" s="437"/>
      <c r="R60" s="437"/>
      <c r="S60" s="437"/>
      <c r="T60" s="465"/>
      <c r="U60" s="443"/>
      <c r="V60" s="464"/>
      <c r="W60" s="437"/>
      <c r="X60" s="437"/>
      <c r="Y60" s="437"/>
      <c r="Z60" s="437"/>
      <c r="AA60" s="437"/>
      <c r="AB60" s="437"/>
      <c r="AC60" s="437"/>
      <c r="AD60" s="437"/>
      <c r="AE60" s="437"/>
      <c r="AF60" s="440"/>
      <c r="AG60" s="443"/>
      <c r="AH60" s="433"/>
      <c r="AI60" s="428"/>
      <c r="AJ60" s="428"/>
      <c r="AK60" s="428"/>
      <c r="AL60" s="428"/>
      <c r="AM60" s="422"/>
      <c r="AN60" s="430"/>
      <c r="AO60" s="464"/>
      <c r="AP60" s="437"/>
      <c r="AQ60" s="437"/>
      <c r="AR60" s="437"/>
      <c r="AS60" s="437"/>
      <c r="AT60" s="437"/>
      <c r="AU60" s="437"/>
      <c r="AV60" s="437"/>
      <c r="AW60" s="437"/>
      <c r="AX60" s="437"/>
      <c r="AY60" s="437"/>
      <c r="AZ60" s="437"/>
      <c r="BA60" s="437"/>
      <c r="BB60" s="437"/>
      <c r="BC60" s="437"/>
      <c r="BD60" s="437"/>
      <c r="BE60" s="437"/>
      <c r="BF60" s="437"/>
      <c r="BG60" s="465"/>
      <c r="BH60" s="443"/>
      <c r="BI60" s="443"/>
    </row>
    <row r="61" spans="1:61" s="443" customFormat="1" x14ac:dyDescent="0.25">
      <c r="A61" s="134"/>
      <c r="B61" s="469" t="s">
        <v>728</v>
      </c>
      <c r="C61" s="468" t="s">
        <v>714</v>
      </c>
      <c r="E61" s="408"/>
      <c r="G61" s="469"/>
      <c r="H61" s="425"/>
      <c r="I61" s="425"/>
      <c r="J61" s="425"/>
      <c r="K61" s="425"/>
      <c r="L61" s="468"/>
      <c r="N61" s="469"/>
      <c r="O61" s="425"/>
      <c r="P61" s="425"/>
      <c r="Q61" s="425"/>
      <c r="R61" s="425"/>
      <c r="S61" s="425"/>
      <c r="T61" s="468"/>
      <c r="V61" s="469"/>
      <c r="W61" s="425"/>
      <c r="X61" s="425"/>
      <c r="Y61" s="425"/>
      <c r="Z61" s="425"/>
      <c r="AA61" s="425"/>
      <c r="AB61" s="425"/>
      <c r="AC61" s="425"/>
      <c r="AD61" s="425"/>
      <c r="AE61" s="425"/>
      <c r="AF61" s="407"/>
      <c r="AH61" s="405"/>
      <c r="AI61" s="404"/>
      <c r="AJ61" s="404"/>
      <c r="AK61" s="404"/>
      <c r="AL61" s="404"/>
      <c r="AM61" s="420"/>
      <c r="AN61" s="430"/>
      <c r="AO61" s="469"/>
      <c r="AP61" s="425"/>
      <c r="AQ61" s="425"/>
      <c r="AR61" s="425"/>
      <c r="AS61" s="425"/>
      <c r="AT61" s="425"/>
      <c r="AU61" s="425"/>
      <c r="AV61" s="425"/>
      <c r="AW61" s="425"/>
      <c r="AX61" s="425"/>
      <c r="AY61" s="425"/>
      <c r="AZ61" s="425"/>
      <c r="BA61" s="425"/>
      <c r="BB61" s="425"/>
      <c r="BC61" s="425"/>
      <c r="BD61" s="425"/>
      <c r="BE61" s="425"/>
      <c r="BF61" s="425"/>
      <c r="BG61" s="468"/>
    </row>
    <row r="62" spans="1:61" x14ac:dyDescent="0.25">
      <c r="A62"/>
      <c r="B62" s="462"/>
      <c r="C62" s="463" t="s">
        <v>715</v>
      </c>
      <c r="D62" s="443"/>
      <c r="E62" s="424"/>
      <c r="F62" s="443"/>
      <c r="G62" s="462"/>
      <c r="H62" s="443"/>
      <c r="I62" s="443"/>
      <c r="J62" s="443"/>
      <c r="K62" s="443"/>
      <c r="L62" s="463"/>
      <c r="M62" s="443"/>
      <c r="N62" s="462"/>
      <c r="O62" s="443"/>
      <c r="P62" s="443"/>
      <c r="Q62" s="443"/>
      <c r="R62" s="443"/>
      <c r="S62" s="443"/>
      <c r="T62" s="463"/>
      <c r="U62" s="443"/>
      <c r="V62" s="462"/>
      <c r="W62" s="443"/>
      <c r="X62" s="443"/>
      <c r="Y62" s="443"/>
      <c r="Z62" s="443"/>
      <c r="AA62" s="443"/>
      <c r="AB62" s="443"/>
      <c r="AC62" s="443"/>
      <c r="AD62" s="443"/>
      <c r="AE62" s="443"/>
      <c r="AF62" s="434"/>
      <c r="AG62" s="443"/>
      <c r="AH62" s="423"/>
      <c r="AI62" s="443"/>
      <c r="AJ62" s="443"/>
      <c r="AK62" s="443"/>
      <c r="AL62" s="443"/>
      <c r="AM62" s="463"/>
      <c r="AN62" s="443"/>
      <c r="AO62" s="462"/>
      <c r="AP62" s="443"/>
      <c r="AQ62" s="443"/>
      <c r="AR62" s="443"/>
      <c r="AS62" s="443"/>
      <c r="AT62" s="443"/>
      <c r="AU62" s="443"/>
      <c r="AV62" s="443"/>
      <c r="AW62" s="443"/>
      <c r="AX62" s="443"/>
      <c r="AY62" s="443"/>
      <c r="AZ62" s="443"/>
      <c r="BA62" s="443"/>
      <c r="BB62" s="443"/>
      <c r="BC62" s="443"/>
      <c r="BD62" s="443"/>
      <c r="BE62" s="443"/>
      <c r="BF62" s="443"/>
      <c r="BG62" s="463"/>
      <c r="BH62" s="443"/>
      <c r="BI62" s="443"/>
    </row>
    <row r="63" spans="1:61" x14ac:dyDescent="0.25">
      <c r="A63"/>
      <c r="B63" s="462"/>
      <c r="C63" s="463" t="s">
        <v>716</v>
      </c>
      <c r="D63" s="443"/>
      <c r="E63" s="424"/>
      <c r="F63" s="443"/>
      <c r="G63" s="462"/>
      <c r="H63" s="443"/>
      <c r="I63" s="443"/>
      <c r="J63" s="443"/>
      <c r="K63" s="443"/>
      <c r="L63" s="463"/>
      <c r="M63" s="443"/>
      <c r="N63" s="462"/>
      <c r="O63" s="443"/>
      <c r="P63" s="443"/>
      <c r="Q63" s="443"/>
      <c r="R63" s="443"/>
      <c r="S63" s="443"/>
      <c r="T63" s="463"/>
      <c r="U63" s="443"/>
      <c r="V63" s="462"/>
      <c r="W63" s="443"/>
      <c r="X63" s="443"/>
      <c r="Y63" s="443"/>
      <c r="Z63" s="443"/>
      <c r="AA63" s="443"/>
      <c r="AB63" s="443"/>
      <c r="AC63" s="443"/>
      <c r="AD63" s="443"/>
      <c r="AE63" s="443"/>
      <c r="AF63" s="434"/>
      <c r="AG63" s="443"/>
      <c r="AH63" s="423"/>
      <c r="AI63" s="443"/>
      <c r="AJ63" s="443"/>
      <c r="AK63" s="443"/>
      <c r="AL63" s="443"/>
      <c r="AM63" s="463"/>
      <c r="AN63" s="443"/>
      <c r="AO63" s="462"/>
      <c r="AP63" s="443"/>
      <c r="AQ63" s="443"/>
      <c r="AR63" s="443"/>
      <c r="AS63" s="443"/>
      <c r="AT63" s="443"/>
      <c r="AU63" s="443"/>
      <c r="AV63" s="443"/>
      <c r="AW63" s="443"/>
      <c r="AX63" s="443"/>
      <c r="AY63" s="443"/>
      <c r="AZ63" s="443"/>
      <c r="BA63" s="443"/>
      <c r="BB63" s="443"/>
      <c r="BC63" s="443"/>
      <c r="BD63" s="443"/>
      <c r="BE63" s="443"/>
      <c r="BF63" s="443"/>
      <c r="BG63" s="463"/>
      <c r="BH63" s="443"/>
      <c r="BI63" s="443"/>
    </row>
    <row r="64" spans="1:61" x14ac:dyDescent="0.25">
      <c r="A64"/>
      <c r="B64" s="464"/>
      <c r="C64" s="465" t="s">
        <v>717</v>
      </c>
      <c r="D64" s="443"/>
      <c r="E64" s="410"/>
      <c r="F64" s="443"/>
      <c r="G64" s="464"/>
      <c r="H64" s="437"/>
      <c r="I64" s="437"/>
      <c r="J64" s="437"/>
      <c r="K64" s="437"/>
      <c r="L64" s="465"/>
      <c r="M64" s="443"/>
      <c r="N64" s="464"/>
      <c r="O64" s="437"/>
      <c r="P64" s="437"/>
      <c r="Q64" s="437"/>
      <c r="R64" s="437"/>
      <c r="S64" s="437"/>
      <c r="T64" s="465"/>
      <c r="U64" s="443"/>
      <c r="V64" s="464"/>
      <c r="W64" s="437"/>
      <c r="X64" s="437"/>
      <c r="Y64" s="437"/>
      <c r="Z64" s="437"/>
      <c r="AA64" s="437"/>
      <c r="AB64" s="437"/>
      <c r="AC64" s="437"/>
      <c r="AD64" s="437"/>
      <c r="AE64" s="437"/>
      <c r="AF64" s="440"/>
      <c r="AG64" s="443"/>
      <c r="AH64" s="433"/>
      <c r="AI64" s="428"/>
      <c r="AJ64" s="428"/>
      <c r="AK64" s="428"/>
      <c r="AL64" s="428"/>
      <c r="AM64" s="422"/>
      <c r="AN64" s="430"/>
      <c r="AO64" s="464"/>
      <c r="AP64" s="437"/>
      <c r="AQ64" s="437"/>
      <c r="AR64" s="437"/>
      <c r="AS64" s="437"/>
      <c r="AT64" s="437"/>
      <c r="AU64" s="437"/>
      <c r="AV64" s="437"/>
      <c r="AW64" s="437"/>
      <c r="AX64" s="437"/>
      <c r="AY64" s="437"/>
      <c r="AZ64" s="437"/>
      <c r="BA64" s="437"/>
      <c r="BB64" s="437"/>
      <c r="BC64" s="437"/>
      <c r="BD64" s="437"/>
      <c r="BE64" s="437"/>
      <c r="BF64" s="437"/>
      <c r="BG64" s="465"/>
      <c r="BH64" s="443"/>
      <c r="BI64" s="443"/>
    </row>
    <row r="65" spans="1:61" s="443" customFormat="1" x14ac:dyDescent="0.25">
      <c r="A65" s="134"/>
      <c r="B65" s="462" t="s">
        <v>729</v>
      </c>
      <c r="C65" s="468" t="s">
        <v>714</v>
      </c>
      <c r="E65" s="424"/>
      <c r="G65" s="462"/>
      <c r="L65" s="463"/>
      <c r="N65" s="462"/>
      <c r="T65" s="463"/>
      <c r="V65" s="462"/>
      <c r="AF65" s="434"/>
      <c r="AH65" s="423"/>
      <c r="AI65" s="430"/>
      <c r="AJ65" s="430"/>
      <c r="AK65" s="430"/>
      <c r="AL65" s="430"/>
      <c r="AM65" s="418"/>
      <c r="AN65" s="430"/>
      <c r="AO65" s="462"/>
      <c r="BG65" s="463"/>
    </row>
    <row r="66" spans="1:61" x14ac:dyDescent="0.25">
      <c r="A66"/>
      <c r="B66" s="462"/>
      <c r="C66" s="463" t="s">
        <v>715</v>
      </c>
      <c r="D66" s="443"/>
      <c r="E66" s="424"/>
      <c r="F66" s="443"/>
      <c r="G66" s="462"/>
      <c r="H66" s="443"/>
      <c r="I66" s="443"/>
      <c r="J66" s="443"/>
      <c r="K66" s="443"/>
      <c r="L66" s="463"/>
      <c r="M66" s="443"/>
      <c r="N66" s="462"/>
      <c r="O66" s="443"/>
      <c r="P66" s="443"/>
      <c r="Q66" s="443"/>
      <c r="R66" s="443"/>
      <c r="S66" s="443"/>
      <c r="T66" s="463"/>
      <c r="U66" s="443"/>
      <c r="V66" s="462"/>
      <c r="W66" s="443"/>
      <c r="X66" s="443"/>
      <c r="Y66" s="443"/>
      <c r="Z66" s="443"/>
      <c r="AA66" s="443"/>
      <c r="AB66" s="443"/>
      <c r="AC66" s="443"/>
      <c r="AD66" s="443"/>
      <c r="AE66" s="443"/>
      <c r="AF66" s="434"/>
      <c r="AG66" s="443"/>
      <c r="AH66" s="423"/>
      <c r="AI66" s="430"/>
      <c r="AJ66" s="430"/>
      <c r="AK66" s="430"/>
      <c r="AL66" s="430"/>
      <c r="AM66" s="418"/>
      <c r="AN66" s="430"/>
      <c r="AO66" s="462"/>
      <c r="AP66" s="443"/>
      <c r="AQ66" s="443"/>
      <c r="AR66" s="443"/>
      <c r="AS66" s="443"/>
      <c r="AT66" s="443"/>
      <c r="AU66" s="443"/>
      <c r="AV66" s="443"/>
      <c r="AW66" s="443"/>
      <c r="AX66" s="443"/>
      <c r="AY66" s="443"/>
      <c r="AZ66" s="443"/>
      <c r="BA66" s="443"/>
      <c r="BB66" s="443"/>
      <c r="BC66" s="443"/>
      <c r="BD66" s="443"/>
      <c r="BE66" s="443"/>
      <c r="BF66" s="443"/>
      <c r="BG66" s="463"/>
      <c r="BH66" s="443"/>
      <c r="BI66" s="443"/>
    </row>
    <row r="67" spans="1:61" x14ac:dyDescent="0.25">
      <c r="A67"/>
      <c r="B67" s="462"/>
      <c r="C67" s="463" t="s">
        <v>716</v>
      </c>
      <c r="D67" s="443"/>
      <c r="E67" s="424"/>
      <c r="F67" s="443"/>
      <c r="G67" s="462"/>
      <c r="H67" s="443"/>
      <c r="I67" s="443"/>
      <c r="J67" s="443"/>
      <c r="K67" s="443"/>
      <c r="L67" s="463"/>
      <c r="M67" s="443"/>
      <c r="N67" s="462"/>
      <c r="O67" s="443"/>
      <c r="P67" s="443"/>
      <c r="Q67" s="443"/>
      <c r="R67" s="443"/>
      <c r="S67" s="443"/>
      <c r="T67" s="463"/>
      <c r="U67" s="443"/>
      <c r="V67" s="462"/>
      <c r="W67" s="443"/>
      <c r="X67" s="443"/>
      <c r="Y67" s="443"/>
      <c r="Z67" s="443"/>
      <c r="AA67" s="443"/>
      <c r="AB67" s="443"/>
      <c r="AC67" s="443"/>
      <c r="AD67" s="443"/>
      <c r="AE67" s="443"/>
      <c r="AF67" s="434"/>
      <c r="AG67" s="443"/>
      <c r="AH67" s="423"/>
      <c r="AI67" s="430"/>
      <c r="AJ67" s="430"/>
      <c r="AK67" s="430"/>
      <c r="AL67" s="430"/>
      <c r="AM67" s="418"/>
      <c r="AN67" s="430"/>
      <c r="AO67" s="462"/>
      <c r="AP67" s="443"/>
      <c r="AQ67" s="443"/>
      <c r="AR67" s="443"/>
      <c r="AS67" s="443"/>
      <c r="AT67" s="443"/>
      <c r="AU67" s="443"/>
      <c r="AV67" s="443"/>
      <c r="AW67" s="443"/>
      <c r="AX67" s="443"/>
      <c r="AY67" s="443"/>
      <c r="AZ67" s="443"/>
      <c r="BA67" s="443"/>
      <c r="BB67" s="443"/>
      <c r="BC67" s="443"/>
      <c r="BD67" s="443"/>
      <c r="BE67" s="443"/>
      <c r="BF67" s="443"/>
      <c r="BG67" s="463"/>
      <c r="BH67" s="443"/>
      <c r="BI67" s="443"/>
    </row>
    <row r="68" spans="1:61" x14ac:dyDescent="0.25">
      <c r="A68"/>
      <c r="B68" s="462"/>
      <c r="C68" s="465" t="s">
        <v>717</v>
      </c>
      <c r="D68" s="443"/>
      <c r="E68" s="410"/>
      <c r="F68" s="443"/>
      <c r="G68" s="464"/>
      <c r="H68" s="437"/>
      <c r="I68" s="437"/>
      <c r="J68" s="437"/>
      <c r="K68" s="437"/>
      <c r="L68" s="465"/>
      <c r="M68" s="443"/>
      <c r="N68" s="464"/>
      <c r="O68" s="437"/>
      <c r="P68" s="437"/>
      <c r="Q68" s="437"/>
      <c r="R68" s="437"/>
      <c r="S68" s="437"/>
      <c r="T68" s="465"/>
      <c r="U68" s="443"/>
      <c r="V68" s="464"/>
      <c r="W68" s="437"/>
      <c r="X68" s="437"/>
      <c r="Y68" s="437"/>
      <c r="Z68" s="437"/>
      <c r="AA68" s="437"/>
      <c r="AB68" s="437"/>
      <c r="AC68" s="437"/>
      <c r="AD68" s="437"/>
      <c r="AE68" s="437"/>
      <c r="AF68" s="440"/>
      <c r="AG68" s="443"/>
      <c r="AH68" s="433"/>
      <c r="AI68" s="428"/>
      <c r="AJ68" s="428"/>
      <c r="AK68" s="428"/>
      <c r="AL68" s="428"/>
      <c r="AM68" s="422"/>
      <c r="AN68" s="430"/>
      <c r="AO68" s="464"/>
      <c r="AP68" s="437"/>
      <c r="AQ68" s="437"/>
      <c r="AR68" s="437"/>
      <c r="AS68" s="437"/>
      <c r="AT68" s="437"/>
      <c r="AU68" s="437"/>
      <c r="AV68" s="437"/>
      <c r="AW68" s="437"/>
      <c r="AX68" s="437"/>
      <c r="AY68" s="437"/>
      <c r="AZ68" s="437"/>
      <c r="BA68" s="437"/>
      <c r="BB68" s="437"/>
      <c r="BC68" s="437"/>
      <c r="BD68" s="437"/>
      <c r="BE68" s="437"/>
      <c r="BF68" s="437"/>
      <c r="BG68" s="465"/>
      <c r="BH68" s="443"/>
      <c r="BI68" s="443"/>
    </row>
    <row r="69" spans="1:61" s="443" customFormat="1" x14ac:dyDescent="0.25">
      <c r="A69" s="134"/>
      <c r="B69" s="469" t="s">
        <v>730</v>
      </c>
      <c r="C69" s="468" t="s">
        <v>714</v>
      </c>
      <c r="E69" s="408"/>
      <c r="G69" s="469"/>
      <c r="H69" s="425"/>
      <c r="I69" s="425"/>
      <c r="J69" s="425"/>
      <c r="K69" s="425"/>
      <c r="L69" s="468"/>
      <c r="N69" s="469"/>
      <c r="O69" s="425"/>
      <c r="P69" s="425"/>
      <c r="Q69" s="425"/>
      <c r="R69" s="425"/>
      <c r="S69" s="425"/>
      <c r="T69" s="468"/>
      <c r="V69" s="469"/>
      <c r="W69" s="425"/>
      <c r="X69" s="425"/>
      <c r="Y69" s="425"/>
      <c r="Z69" s="425"/>
      <c r="AA69" s="425"/>
      <c r="AB69" s="425"/>
      <c r="AC69" s="425"/>
      <c r="AD69" s="425"/>
      <c r="AE69" s="425"/>
      <c r="AF69" s="407"/>
      <c r="AH69" s="405"/>
      <c r="AI69" s="404"/>
      <c r="AJ69" s="404"/>
      <c r="AK69" s="404"/>
      <c r="AL69" s="404"/>
      <c r="AM69" s="420"/>
      <c r="AN69" s="430"/>
      <c r="AO69" s="469"/>
      <c r="AP69" s="425"/>
      <c r="AQ69" s="425"/>
      <c r="AR69" s="425"/>
      <c r="AS69" s="425"/>
      <c r="AT69" s="425"/>
      <c r="AU69" s="425"/>
      <c r="AV69" s="425"/>
      <c r="AW69" s="425"/>
      <c r="AX69" s="425"/>
      <c r="AY69" s="425"/>
      <c r="AZ69" s="425"/>
      <c r="BA69" s="425"/>
      <c r="BB69" s="425"/>
      <c r="BC69" s="425"/>
      <c r="BD69" s="425"/>
      <c r="BE69" s="425"/>
      <c r="BF69" s="425"/>
      <c r="BG69" s="468"/>
    </row>
    <row r="70" spans="1:61" x14ac:dyDescent="0.25">
      <c r="A70"/>
      <c r="B70" s="462"/>
      <c r="C70" s="463" t="s">
        <v>715</v>
      </c>
      <c r="D70" s="443"/>
      <c r="E70" s="424"/>
      <c r="F70" s="443"/>
      <c r="G70" s="462"/>
      <c r="H70" s="443"/>
      <c r="I70" s="443"/>
      <c r="J70" s="443"/>
      <c r="K70" s="443"/>
      <c r="L70" s="463"/>
      <c r="M70" s="443"/>
      <c r="N70" s="462"/>
      <c r="O70" s="443"/>
      <c r="P70" s="443"/>
      <c r="Q70" s="443"/>
      <c r="R70" s="443"/>
      <c r="S70" s="443"/>
      <c r="T70" s="463"/>
      <c r="U70" s="443"/>
      <c r="V70" s="462"/>
      <c r="W70" s="443"/>
      <c r="X70" s="443"/>
      <c r="Y70" s="443"/>
      <c r="Z70" s="443"/>
      <c r="AA70" s="443"/>
      <c r="AB70" s="443"/>
      <c r="AC70" s="443"/>
      <c r="AD70" s="443"/>
      <c r="AE70" s="443"/>
      <c r="AF70" s="434"/>
      <c r="AG70" s="443"/>
      <c r="AH70" s="423"/>
      <c r="AI70" s="443"/>
      <c r="AJ70" s="443"/>
      <c r="AK70" s="443"/>
      <c r="AL70" s="443"/>
      <c r="AM70" s="463"/>
      <c r="AN70" s="443"/>
      <c r="AO70" s="462"/>
      <c r="AP70" s="443"/>
      <c r="AQ70" s="443"/>
      <c r="AR70" s="443"/>
      <c r="AS70" s="443"/>
      <c r="AT70" s="443"/>
      <c r="AU70" s="443"/>
      <c r="AV70" s="443"/>
      <c r="AW70" s="443"/>
      <c r="AX70" s="443"/>
      <c r="AY70" s="443"/>
      <c r="AZ70" s="443"/>
      <c r="BA70" s="443"/>
      <c r="BB70" s="443"/>
      <c r="BC70" s="443"/>
      <c r="BD70" s="443"/>
      <c r="BE70" s="443"/>
      <c r="BF70" s="443"/>
      <c r="BG70" s="463"/>
      <c r="BH70" s="443"/>
      <c r="BI70" s="443"/>
    </row>
    <row r="71" spans="1:61" x14ac:dyDescent="0.25">
      <c r="A71"/>
      <c r="B71" s="462"/>
      <c r="C71" s="463" t="s">
        <v>716</v>
      </c>
      <c r="D71" s="443"/>
      <c r="E71" s="424"/>
      <c r="F71" s="443"/>
      <c r="G71" s="462"/>
      <c r="H71" s="443"/>
      <c r="I71" s="443"/>
      <c r="J71" s="443"/>
      <c r="K71" s="443"/>
      <c r="L71" s="463"/>
      <c r="M71" s="443"/>
      <c r="N71" s="462"/>
      <c r="O71" s="443"/>
      <c r="P71" s="443"/>
      <c r="Q71" s="443"/>
      <c r="R71" s="443"/>
      <c r="S71" s="443"/>
      <c r="T71" s="463"/>
      <c r="U71" s="443"/>
      <c r="V71" s="462"/>
      <c r="W71" s="443"/>
      <c r="X71" s="443"/>
      <c r="Y71" s="443"/>
      <c r="Z71" s="443"/>
      <c r="AA71" s="443"/>
      <c r="AB71" s="443"/>
      <c r="AC71" s="443"/>
      <c r="AD71" s="443"/>
      <c r="AE71" s="443"/>
      <c r="AF71" s="434"/>
      <c r="AG71" s="443"/>
      <c r="AH71" s="423"/>
      <c r="AI71" s="443"/>
      <c r="AJ71" s="443"/>
      <c r="AK71" s="443"/>
      <c r="AL71" s="443"/>
      <c r="AM71" s="463"/>
      <c r="AN71" s="443"/>
      <c r="AO71" s="462"/>
      <c r="AP71" s="443"/>
      <c r="AQ71" s="443"/>
      <c r="AR71" s="443"/>
      <c r="AS71" s="443"/>
      <c r="AT71" s="443"/>
      <c r="AU71" s="443"/>
      <c r="AV71" s="443"/>
      <c r="AW71" s="443"/>
      <c r="AX71" s="443"/>
      <c r="AY71" s="443"/>
      <c r="AZ71" s="443"/>
      <c r="BA71" s="443"/>
      <c r="BB71" s="443"/>
      <c r="BC71" s="443"/>
      <c r="BD71" s="443"/>
      <c r="BE71" s="443"/>
      <c r="BF71" s="443"/>
      <c r="BG71" s="463"/>
      <c r="BH71" s="443"/>
      <c r="BI71" s="443"/>
    </row>
    <row r="72" spans="1:61" x14ac:dyDescent="0.25">
      <c r="A72"/>
      <c r="B72" s="464"/>
      <c r="C72" s="465" t="s">
        <v>717</v>
      </c>
      <c r="D72" s="443"/>
      <c r="E72" s="410"/>
      <c r="F72" s="443"/>
      <c r="G72" s="464"/>
      <c r="H72" s="437"/>
      <c r="I72" s="437"/>
      <c r="J72" s="437"/>
      <c r="K72" s="437"/>
      <c r="L72" s="465"/>
      <c r="M72" s="443"/>
      <c r="N72" s="464"/>
      <c r="O72" s="437"/>
      <c r="P72" s="437"/>
      <c r="Q72" s="437"/>
      <c r="R72" s="437"/>
      <c r="S72" s="437"/>
      <c r="T72" s="465"/>
      <c r="U72" s="443"/>
      <c r="V72" s="464"/>
      <c r="W72" s="437"/>
      <c r="X72" s="437"/>
      <c r="Y72" s="437"/>
      <c r="Z72" s="437"/>
      <c r="AA72" s="437"/>
      <c r="AB72" s="437"/>
      <c r="AC72" s="437"/>
      <c r="AD72" s="437"/>
      <c r="AE72" s="437"/>
      <c r="AF72" s="440"/>
      <c r="AG72" s="443"/>
      <c r="AH72" s="433"/>
      <c r="AI72" s="428"/>
      <c r="AJ72" s="428"/>
      <c r="AK72" s="428"/>
      <c r="AL72" s="428"/>
      <c r="AM72" s="422"/>
      <c r="AN72" s="430"/>
      <c r="AO72" s="464"/>
      <c r="AP72" s="437"/>
      <c r="AQ72" s="437"/>
      <c r="AR72" s="437"/>
      <c r="AS72" s="437"/>
      <c r="AT72" s="437"/>
      <c r="AU72" s="437"/>
      <c r="AV72" s="437"/>
      <c r="AW72" s="437"/>
      <c r="AX72" s="437"/>
      <c r="AY72" s="437"/>
      <c r="AZ72" s="437"/>
      <c r="BA72" s="437"/>
      <c r="BB72" s="437"/>
      <c r="BC72" s="437"/>
      <c r="BD72" s="437"/>
      <c r="BE72" s="437"/>
      <c r="BF72" s="437"/>
      <c r="BG72" s="465"/>
      <c r="BH72" s="443"/>
      <c r="BI72" s="443"/>
    </row>
    <row r="73" spans="1:61" s="443" customFormat="1" x14ac:dyDescent="0.25">
      <c r="A73" s="134"/>
      <c r="B73" s="462" t="s">
        <v>731</v>
      </c>
      <c r="C73" s="468" t="s">
        <v>714</v>
      </c>
      <c r="E73" s="424"/>
      <c r="G73" s="462"/>
      <c r="L73" s="463"/>
      <c r="N73" s="462"/>
      <c r="T73" s="463"/>
      <c r="V73" s="462"/>
      <c r="AF73" s="434"/>
      <c r="AH73" s="423"/>
      <c r="AI73" s="430"/>
      <c r="AJ73" s="430"/>
      <c r="AK73" s="430"/>
      <c r="AL73" s="430"/>
      <c r="AM73" s="418"/>
      <c r="AN73" s="430"/>
      <c r="AO73" s="462"/>
      <c r="BG73" s="463"/>
    </row>
    <row r="74" spans="1:61" x14ac:dyDescent="0.25">
      <c r="A74"/>
      <c r="B74" s="462"/>
      <c r="C74" s="463" t="s">
        <v>715</v>
      </c>
      <c r="D74" s="443"/>
      <c r="E74" s="424"/>
      <c r="F74" s="443"/>
      <c r="G74" s="462"/>
      <c r="H74" s="443"/>
      <c r="I74" s="443"/>
      <c r="J74" s="443"/>
      <c r="K74" s="443"/>
      <c r="L74" s="463"/>
      <c r="M74" s="443"/>
      <c r="N74" s="462"/>
      <c r="O74" s="443"/>
      <c r="P74" s="443"/>
      <c r="Q74" s="443"/>
      <c r="R74" s="443"/>
      <c r="S74" s="443"/>
      <c r="T74" s="463"/>
      <c r="U74" s="443"/>
      <c r="V74" s="462"/>
      <c r="W74" s="443"/>
      <c r="X74" s="443"/>
      <c r="Y74" s="443"/>
      <c r="Z74" s="443"/>
      <c r="AA74" s="443"/>
      <c r="AB74" s="443"/>
      <c r="AC74" s="443"/>
      <c r="AD74" s="443"/>
      <c r="AE74" s="443"/>
      <c r="AF74" s="434"/>
      <c r="AG74" s="443"/>
      <c r="AH74" s="423"/>
      <c r="AI74" s="430"/>
      <c r="AJ74" s="430"/>
      <c r="AK74" s="430"/>
      <c r="AL74" s="430"/>
      <c r="AM74" s="418"/>
      <c r="AN74" s="430"/>
      <c r="AO74" s="462"/>
      <c r="AP74" s="443"/>
      <c r="AQ74" s="443"/>
      <c r="AR74" s="443"/>
      <c r="AS74" s="443"/>
      <c r="AT74" s="443"/>
      <c r="AU74" s="443"/>
      <c r="AV74" s="443"/>
      <c r="AW74" s="443"/>
      <c r="AX74" s="443"/>
      <c r="AY74" s="443"/>
      <c r="AZ74" s="443"/>
      <c r="BA74" s="443"/>
      <c r="BB74" s="443"/>
      <c r="BC74" s="443"/>
      <c r="BD74" s="443"/>
      <c r="BE74" s="443"/>
      <c r="BF74" s="443"/>
      <c r="BG74" s="463"/>
      <c r="BH74" s="443"/>
      <c r="BI74" s="443"/>
    </row>
    <row r="75" spans="1:61" x14ac:dyDescent="0.25">
      <c r="A75"/>
      <c r="B75" s="462"/>
      <c r="C75" s="463" t="s">
        <v>716</v>
      </c>
      <c r="D75" s="443"/>
      <c r="E75" s="424"/>
      <c r="F75" s="443"/>
      <c r="G75" s="462"/>
      <c r="H75" s="443"/>
      <c r="I75" s="443"/>
      <c r="J75" s="443"/>
      <c r="K75" s="443"/>
      <c r="L75" s="463"/>
      <c r="M75" s="443"/>
      <c r="N75" s="462"/>
      <c r="O75" s="443"/>
      <c r="P75" s="443"/>
      <c r="Q75" s="443"/>
      <c r="R75" s="443"/>
      <c r="S75" s="443"/>
      <c r="T75" s="463"/>
      <c r="U75" s="443"/>
      <c r="V75" s="462"/>
      <c r="W75" s="443"/>
      <c r="X75" s="443"/>
      <c r="Y75" s="443"/>
      <c r="Z75" s="443"/>
      <c r="AA75" s="443"/>
      <c r="AB75" s="443"/>
      <c r="AC75" s="443"/>
      <c r="AD75" s="443"/>
      <c r="AE75" s="443"/>
      <c r="AF75" s="434"/>
      <c r="AG75" s="443"/>
      <c r="AH75" s="423"/>
      <c r="AI75" s="430"/>
      <c r="AJ75" s="430"/>
      <c r="AK75" s="430"/>
      <c r="AL75" s="430"/>
      <c r="AM75" s="418"/>
      <c r="AN75" s="430"/>
      <c r="AO75" s="462"/>
      <c r="AP75" s="443"/>
      <c r="AQ75" s="443"/>
      <c r="AR75" s="443"/>
      <c r="AS75" s="443"/>
      <c r="AT75" s="443"/>
      <c r="AU75" s="443"/>
      <c r="AV75" s="443"/>
      <c r="AW75" s="443"/>
      <c r="AX75" s="443"/>
      <c r="AY75" s="443"/>
      <c r="AZ75" s="443"/>
      <c r="BA75" s="443"/>
      <c r="BB75" s="443"/>
      <c r="BC75" s="443"/>
      <c r="BD75" s="443"/>
      <c r="BE75" s="443"/>
      <c r="BF75" s="443"/>
      <c r="BG75" s="463"/>
      <c r="BH75" s="443"/>
      <c r="BI75" s="443"/>
    </row>
    <row r="76" spans="1:61" x14ac:dyDescent="0.25">
      <c r="A76"/>
      <c r="B76" s="462"/>
      <c r="C76" s="465" t="s">
        <v>717</v>
      </c>
      <c r="D76" s="443"/>
      <c r="E76" s="424"/>
      <c r="F76" s="443"/>
      <c r="G76" s="462"/>
      <c r="H76" s="443"/>
      <c r="I76" s="443"/>
      <c r="J76" s="443"/>
      <c r="K76" s="443"/>
      <c r="L76" s="463"/>
      <c r="M76" s="443"/>
      <c r="N76" s="462"/>
      <c r="O76" s="443"/>
      <c r="P76" s="443"/>
      <c r="Q76" s="443"/>
      <c r="R76" s="443"/>
      <c r="S76" s="443"/>
      <c r="T76" s="463"/>
      <c r="U76" s="443"/>
      <c r="V76" s="462"/>
      <c r="W76" s="443"/>
      <c r="X76" s="443"/>
      <c r="Y76" s="443"/>
      <c r="Z76" s="443"/>
      <c r="AA76" s="443"/>
      <c r="AB76" s="443"/>
      <c r="AC76" s="443"/>
      <c r="AD76" s="443"/>
      <c r="AE76" s="443"/>
      <c r="AF76" s="434"/>
      <c r="AG76" s="443"/>
      <c r="AH76" s="423"/>
      <c r="AI76" s="430"/>
      <c r="AJ76" s="430"/>
      <c r="AK76" s="430"/>
      <c r="AL76" s="430"/>
      <c r="AM76" s="418"/>
      <c r="AN76" s="430"/>
      <c r="AO76" s="462"/>
      <c r="AP76" s="443"/>
      <c r="AQ76" s="443"/>
      <c r="AR76" s="443"/>
      <c r="AS76" s="443"/>
      <c r="AT76" s="443"/>
      <c r="AU76" s="443"/>
      <c r="AV76" s="443"/>
      <c r="AW76" s="443"/>
      <c r="AX76" s="443"/>
      <c r="AY76" s="443"/>
      <c r="AZ76" s="443"/>
      <c r="BA76" s="443"/>
      <c r="BB76" s="443"/>
      <c r="BC76" s="443"/>
      <c r="BD76" s="443"/>
      <c r="BE76" s="443"/>
      <c r="BF76" s="443"/>
      <c r="BG76" s="463"/>
      <c r="BH76" s="443"/>
      <c r="BI76" s="443"/>
    </row>
    <row r="77" spans="1:61" s="443" customFormat="1" x14ac:dyDescent="0.25">
      <c r="A77" s="134"/>
      <c r="B77" s="469" t="s">
        <v>732</v>
      </c>
      <c r="C77" s="468" t="s">
        <v>714</v>
      </c>
      <c r="E77" s="408"/>
      <c r="G77" s="469"/>
      <c r="H77" s="425"/>
      <c r="I77" s="425"/>
      <c r="J77" s="425"/>
      <c r="K77" s="425"/>
      <c r="L77" s="468"/>
      <c r="N77" s="469"/>
      <c r="O77" s="425"/>
      <c r="P77" s="425"/>
      <c r="Q77" s="425"/>
      <c r="R77" s="425"/>
      <c r="S77" s="425"/>
      <c r="T77" s="468"/>
      <c r="V77" s="469"/>
      <c r="W77" s="425"/>
      <c r="X77" s="425"/>
      <c r="Y77" s="425"/>
      <c r="Z77" s="425"/>
      <c r="AA77" s="425"/>
      <c r="AB77" s="425"/>
      <c r="AC77" s="425"/>
      <c r="AD77" s="425"/>
      <c r="AE77" s="425"/>
      <c r="AF77" s="407"/>
      <c r="AH77" s="405"/>
      <c r="AI77" s="404"/>
      <c r="AJ77" s="404"/>
      <c r="AK77" s="404"/>
      <c r="AL77" s="404"/>
      <c r="AM77" s="420"/>
      <c r="AN77" s="430"/>
      <c r="AO77" s="469"/>
      <c r="AP77" s="425"/>
      <c r="AQ77" s="425"/>
      <c r="AR77" s="425"/>
      <c r="AS77" s="425"/>
      <c r="AT77" s="425"/>
      <c r="AU77" s="425"/>
      <c r="AV77" s="425"/>
      <c r="AW77" s="425"/>
      <c r="AX77" s="425"/>
      <c r="AY77" s="425"/>
      <c r="AZ77" s="425"/>
      <c r="BA77" s="425"/>
      <c r="BB77" s="425"/>
      <c r="BC77" s="425"/>
      <c r="BD77" s="425"/>
      <c r="BE77" s="425"/>
      <c r="BF77" s="425"/>
      <c r="BG77" s="468"/>
    </row>
    <row r="78" spans="1:61" x14ac:dyDescent="0.25">
      <c r="A78"/>
      <c r="B78" s="462"/>
      <c r="C78" s="463" t="s">
        <v>715</v>
      </c>
      <c r="D78" s="443"/>
      <c r="E78" s="424"/>
      <c r="F78" s="443"/>
      <c r="G78" s="462"/>
      <c r="H78" s="443"/>
      <c r="I78" s="443"/>
      <c r="J78" s="443"/>
      <c r="K78" s="443"/>
      <c r="L78" s="463"/>
      <c r="M78" s="443"/>
      <c r="N78" s="462"/>
      <c r="O78" s="443"/>
      <c r="P78" s="443"/>
      <c r="Q78" s="443"/>
      <c r="R78" s="443"/>
      <c r="S78" s="443"/>
      <c r="T78" s="463"/>
      <c r="U78" s="443"/>
      <c r="V78" s="462"/>
      <c r="W78" s="443"/>
      <c r="X78" s="443"/>
      <c r="Y78" s="443"/>
      <c r="Z78" s="443"/>
      <c r="AA78" s="443"/>
      <c r="AB78" s="443"/>
      <c r="AC78" s="443"/>
      <c r="AD78" s="443"/>
      <c r="AE78" s="443"/>
      <c r="AF78" s="434"/>
      <c r="AG78" s="443"/>
      <c r="AH78" s="423"/>
      <c r="AI78" s="443"/>
      <c r="AJ78" s="443"/>
      <c r="AK78" s="443"/>
      <c r="AL78" s="443"/>
      <c r="AM78" s="463"/>
      <c r="AN78" s="443"/>
      <c r="AO78" s="462"/>
      <c r="AP78" s="443"/>
      <c r="AQ78" s="443"/>
      <c r="AR78" s="443"/>
      <c r="AS78" s="443"/>
      <c r="AT78" s="443"/>
      <c r="AU78" s="443"/>
      <c r="AV78" s="443"/>
      <c r="AW78" s="443"/>
      <c r="AX78" s="443"/>
      <c r="AY78" s="443"/>
      <c r="AZ78" s="443"/>
      <c r="BA78" s="443"/>
      <c r="BB78" s="443"/>
      <c r="BC78" s="443"/>
      <c r="BD78" s="443"/>
      <c r="BE78" s="443"/>
      <c r="BF78" s="443"/>
      <c r="BG78" s="463"/>
      <c r="BH78" s="443"/>
      <c r="BI78" s="443"/>
    </row>
    <row r="79" spans="1:61" x14ac:dyDescent="0.25">
      <c r="A79"/>
      <c r="B79" s="462"/>
      <c r="C79" s="463" t="s">
        <v>716</v>
      </c>
      <c r="D79" s="443"/>
      <c r="E79" s="424"/>
      <c r="F79" s="443"/>
      <c r="G79" s="462"/>
      <c r="H79" s="443"/>
      <c r="I79" s="443"/>
      <c r="J79" s="443"/>
      <c r="K79" s="443"/>
      <c r="L79" s="463"/>
      <c r="M79" s="443"/>
      <c r="N79" s="462"/>
      <c r="O79" s="443"/>
      <c r="P79" s="443"/>
      <c r="Q79" s="443"/>
      <c r="R79" s="443"/>
      <c r="S79" s="443"/>
      <c r="T79" s="463"/>
      <c r="U79" s="443"/>
      <c r="V79" s="462"/>
      <c r="W79" s="443"/>
      <c r="X79" s="443"/>
      <c r="Y79" s="443"/>
      <c r="Z79" s="443"/>
      <c r="AA79" s="443"/>
      <c r="AB79" s="443"/>
      <c r="AC79" s="443"/>
      <c r="AD79" s="443"/>
      <c r="AE79" s="443"/>
      <c r="AF79" s="434"/>
      <c r="AG79" s="443"/>
      <c r="AH79" s="423"/>
      <c r="AI79" s="443"/>
      <c r="AJ79" s="443"/>
      <c r="AK79" s="443"/>
      <c r="AL79" s="443"/>
      <c r="AM79" s="463"/>
      <c r="AN79" s="443"/>
      <c r="AO79" s="462"/>
      <c r="AP79" s="443"/>
      <c r="AQ79" s="443"/>
      <c r="AR79" s="443"/>
      <c r="AS79" s="443"/>
      <c r="AT79" s="443"/>
      <c r="AU79" s="443"/>
      <c r="AV79" s="443"/>
      <c r="AW79" s="443"/>
      <c r="AX79" s="443"/>
      <c r="AY79" s="443"/>
      <c r="AZ79" s="443"/>
      <c r="BA79" s="443"/>
      <c r="BB79" s="443"/>
      <c r="BC79" s="443"/>
      <c r="BD79" s="443"/>
      <c r="BE79" s="443"/>
      <c r="BF79" s="443"/>
      <c r="BG79" s="463"/>
      <c r="BH79" s="443"/>
      <c r="BI79" s="443"/>
    </row>
    <row r="80" spans="1:61" x14ac:dyDescent="0.25">
      <c r="A80"/>
      <c r="B80" s="464"/>
      <c r="C80" s="465" t="s">
        <v>717</v>
      </c>
      <c r="D80" s="443"/>
      <c r="E80" s="410"/>
      <c r="F80" s="443"/>
      <c r="G80" s="464"/>
      <c r="H80" s="437"/>
      <c r="I80" s="437"/>
      <c r="J80" s="437"/>
      <c r="K80" s="437"/>
      <c r="L80" s="465"/>
      <c r="M80" s="443"/>
      <c r="N80" s="464"/>
      <c r="O80" s="437"/>
      <c r="P80" s="437"/>
      <c r="Q80" s="437"/>
      <c r="R80" s="437"/>
      <c r="S80" s="437"/>
      <c r="T80" s="465"/>
      <c r="U80" s="443"/>
      <c r="V80" s="464"/>
      <c r="W80" s="437"/>
      <c r="X80" s="437"/>
      <c r="Y80" s="437"/>
      <c r="Z80" s="437"/>
      <c r="AA80" s="437"/>
      <c r="AB80" s="437"/>
      <c r="AC80" s="437"/>
      <c r="AD80" s="437"/>
      <c r="AE80" s="437"/>
      <c r="AF80" s="440"/>
      <c r="AG80" s="443"/>
      <c r="AH80" s="433"/>
      <c r="AI80" s="428"/>
      <c r="AJ80" s="428"/>
      <c r="AK80" s="428"/>
      <c r="AL80" s="428"/>
      <c r="AM80" s="422"/>
      <c r="AN80" s="430"/>
      <c r="AO80" s="464"/>
      <c r="AP80" s="437"/>
      <c r="AQ80" s="437"/>
      <c r="AR80" s="437"/>
      <c r="AS80" s="437"/>
      <c r="AT80" s="437"/>
      <c r="AU80" s="437"/>
      <c r="AV80" s="437"/>
      <c r="AW80" s="437"/>
      <c r="AX80" s="437"/>
      <c r="AY80" s="437"/>
      <c r="AZ80" s="437"/>
      <c r="BA80" s="437"/>
      <c r="BB80" s="437"/>
      <c r="BC80" s="437"/>
      <c r="BD80" s="437"/>
      <c r="BE80" s="437"/>
      <c r="BF80" s="437"/>
      <c r="BG80" s="465"/>
      <c r="BH80" s="443"/>
      <c r="BI80" s="443"/>
    </row>
    <row r="81" spans="1:61" s="443" customFormat="1" x14ac:dyDescent="0.25">
      <c r="A81" s="134"/>
      <c r="B81" s="469" t="s">
        <v>733</v>
      </c>
      <c r="C81" s="468" t="s">
        <v>714</v>
      </c>
      <c r="E81" s="408"/>
      <c r="G81" s="469"/>
      <c r="H81" s="425"/>
      <c r="I81" s="425"/>
      <c r="J81" s="425"/>
      <c r="K81" s="425"/>
      <c r="L81" s="468"/>
      <c r="N81" s="469"/>
      <c r="O81" s="425"/>
      <c r="P81" s="425"/>
      <c r="Q81" s="425"/>
      <c r="R81" s="425"/>
      <c r="S81" s="425"/>
      <c r="T81" s="468"/>
      <c r="V81" s="469"/>
      <c r="W81" s="425"/>
      <c r="X81" s="425"/>
      <c r="Y81" s="425"/>
      <c r="Z81" s="425"/>
      <c r="AA81" s="425"/>
      <c r="AB81" s="425"/>
      <c r="AC81" s="425"/>
      <c r="AD81" s="425"/>
      <c r="AE81" s="425"/>
      <c r="AF81" s="407"/>
      <c r="AH81" s="405"/>
      <c r="AI81" s="404"/>
      <c r="AJ81" s="404"/>
      <c r="AK81" s="404"/>
      <c r="AL81" s="404"/>
      <c r="AM81" s="420"/>
      <c r="AN81" s="430"/>
      <c r="AO81" s="469"/>
      <c r="AP81" s="425"/>
      <c r="AQ81" s="425"/>
      <c r="AR81" s="425"/>
      <c r="AS81" s="425"/>
      <c r="AT81" s="425"/>
      <c r="AU81" s="425"/>
      <c r="AV81" s="425"/>
      <c r="AW81" s="425"/>
      <c r="AX81" s="425"/>
      <c r="AY81" s="425"/>
      <c r="AZ81" s="425"/>
      <c r="BA81" s="425"/>
      <c r="BB81" s="425"/>
      <c r="BC81" s="425"/>
      <c r="BD81" s="425"/>
      <c r="BE81" s="425"/>
      <c r="BF81" s="425"/>
      <c r="BG81" s="468"/>
    </row>
    <row r="82" spans="1:61" x14ac:dyDescent="0.25">
      <c r="A82"/>
      <c r="B82" s="462"/>
      <c r="C82" s="463" t="s">
        <v>715</v>
      </c>
      <c r="D82" s="443"/>
      <c r="E82" s="424"/>
      <c r="F82" s="443"/>
      <c r="G82" s="462"/>
      <c r="H82" s="443"/>
      <c r="I82" s="443"/>
      <c r="J82" s="443"/>
      <c r="K82" s="443"/>
      <c r="L82" s="463"/>
      <c r="M82" s="443"/>
      <c r="N82" s="462"/>
      <c r="O82" s="443"/>
      <c r="P82" s="443"/>
      <c r="Q82" s="443"/>
      <c r="R82" s="443"/>
      <c r="S82" s="443"/>
      <c r="T82" s="463"/>
      <c r="U82" s="443"/>
      <c r="V82" s="462"/>
      <c r="W82" s="443"/>
      <c r="X82" s="443"/>
      <c r="Y82" s="443"/>
      <c r="Z82" s="443"/>
      <c r="AA82" s="443"/>
      <c r="AB82" s="443"/>
      <c r="AC82" s="443"/>
      <c r="AD82" s="443"/>
      <c r="AE82" s="443"/>
      <c r="AF82" s="434"/>
      <c r="AG82" s="443"/>
      <c r="AH82" s="423"/>
      <c r="AI82" s="443"/>
      <c r="AJ82" s="443"/>
      <c r="AK82" s="443"/>
      <c r="AL82" s="443"/>
      <c r="AM82" s="463"/>
      <c r="AN82" s="443"/>
      <c r="AO82" s="462"/>
      <c r="AP82" s="443"/>
      <c r="AQ82" s="443"/>
      <c r="AR82" s="443"/>
      <c r="AS82" s="443"/>
      <c r="AT82" s="443"/>
      <c r="AU82" s="443"/>
      <c r="AV82" s="443"/>
      <c r="AW82" s="443"/>
      <c r="AX82" s="443"/>
      <c r="AY82" s="443"/>
      <c r="AZ82" s="443"/>
      <c r="BA82" s="443"/>
      <c r="BB82" s="443"/>
      <c r="BC82" s="443"/>
      <c r="BD82" s="443"/>
      <c r="BE82" s="443"/>
      <c r="BF82" s="443"/>
      <c r="BG82" s="463"/>
      <c r="BH82" s="443"/>
      <c r="BI82" s="443"/>
    </row>
    <row r="83" spans="1:61" x14ac:dyDescent="0.25">
      <c r="A83"/>
      <c r="B83" s="462"/>
      <c r="C83" s="463" t="s">
        <v>716</v>
      </c>
      <c r="D83" s="443"/>
      <c r="E83" s="424"/>
      <c r="F83" s="443"/>
      <c r="G83" s="462"/>
      <c r="H83" s="443"/>
      <c r="I83" s="443"/>
      <c r="J83" s="443"/>
      <c r="K83" s="443"/>
      <c r="L83" s="463"/>
      <c r="M83" s="443"/>
      <c r="N83" s="462"/>
      <c r="O83" s="443"/>
      <c r="P83" s="443"/>
      <c r="Q83" s="443"/>
      <c r="R83" s="443"/>
      <c r="S83" s="443"/>
      <c r="T83" s="463"/>
      <c r="U83" s="443"/>
      <c r="V83" s="462"/>
      <c r="W83" s="443"/>
      <c r="X83" s="443"/>
      <c r="Y83" s="443"/>
      <c r="Z83" s="443"/>
      <c r="AA83" s="443"/>
      <c r="AB83" s="443"/>
      <c r="AC83" s="443"/>
      <c r="AD83" s="443"/>
      <c r="AE83" s="443"/>
      <c r="AF83" s="434"/>
      <c r="AG83" s="443"/>
      <c r="AH83" s="423"/>
      <c r="AI83" s="443"/>
      <c r="AJ83" s="443"/>
      <c r="AK83" s="443"/>
      <c r="AL83" s="443"/>
      <c r="AM83" s="463"/>
      <c r="AN83" s="443"/>
      <c r="AO83" s="462"/>
      <c r="AP83" s="443"/>
      <c r="AQ83" s="443"/>
      <c r="AR83" s="443"/>
      <c r="AS83" s="443"/>
      <c r="AT83" s="443"/>
      <c r="AU83" s="443"/>
      <c r="AV83" s="443"/>
      <c r="AW83" s="443"/>
      <c r="AX83" s="443"/>
      <c r="AY83" s="443"/>
      <c r="AZ83" s="443"/>
      <c r="BA83" s="443"/>
      <c r="BB83" s="443"/>
      <c r="BC83" s="443"/>
      <c r="BD83" s="443"/>
      <c r="BE83" s="443"/>
      <c r="BF83" s="443"/>
      <c r="BG83" s="463"/>
      <c r="BH83" s="443"/>
      <c r="BI83" s="443"/>
    </row>
    <row r="84" spans="1:61" x14ac:dyDescent="0.25">
      <c r="A84"/>
      <c r="B84" s="464"/>
      <c r="C84" s="465" t="s">
        <v>717</v>
      </c>
      <c r="D84" s="443"/>
      <c r="E84" s="410"/>
      <c r="F84" s="443"/>
      <c r="G84" s="464"/>
      <c r="H84" s="437"/>
      <c r="I84" s="437"/>
      <c r="J84" s="437"/>
      <c r="K84" s="437"/>
      <c r="L84" s="465"/>
      <c r="M84" s="443"/>
      <c r="N84" s="464"/>
      <c r="O84" s="437"/>
      <c r="P84" s="437"/>
      <c r="Q84" s="437"/>
      <c r="R84" s="437"/>
      <c r="S84" s="437"/>
      <c r="T84" s="465"/>
      <c r="U84" s="443"/>
      <c r="V84" s="464"/>
      <c r="W84" s="437"/>
      <c r="X84" s="437"/>
      <c r="Y84" s="437"/>
      <c r="Z84" s="437"/>
      <c r="AA84" s="437"/>
      <c r="AB84" s="437"/>
      <c r="AC84" s="437"/>
      <c r="AD84" s="437"/>
      <c r="AE84" s="437"/>
      <c r="AF84" s="440"/>
      <c r="AG84" s="443"/>
      <c r="AH84" s="433"/>
      <c r="AI84" s="428"/>
      <c r="AJ84" s="428"/>
      <c r="AK84" s="428"/>
      <c r="AL84" s="428"/>
      <c r="AM84" s="422"/>
      <c r="AN84" s="430"/>
      <c r="AO84" s="464"/>
      <c r="AP84" s="437"/>
      <c r="AQ84" s="437"/>
      <c r="AR84" s="437"/>
      <c r="AS84" s="437"/>
      <c r="AT84" s="437"/>
      <c r="AU84" s="437"/>
      <c r="AV84" s="437"/>
      <c r="AW84" s="437"/>
      <c r="AX84" s="437"/>
      <c r="AY84" s="437"/>
      <c r="AZ84" s="437"/>
      <c r="BA84" s="437"/>
      <c r="BB84" s="437"/>
      <c r="BC84" s="437"/>
      <c r="BD84" s="437"/>
      <c r="BE84" s="437"/>
      <c r="BF84" s="437"/>
      <c r="BG84" s="465"/>
      <c r="BH84" s="443"/>
      <c r="BI84" s="443"/>
    </row>
    <row r="85" spans="1:61" s="443" customFormat="1" x14ac:dyDescent="0.25">
      <c r="A85" s="134"/>
      <c r="B85" s="469" t="s">
        <v>734</v>
      </c>
      <c r="C85" s="468" t="s">
        <v>714</v>
      </c>
      <c r="E85" s="408"/>
      <c r="G85" s="469"/>
      <c r="H85" s="425"/>
      <c r="I85" s="425"/>
      <c r="J85" s="425"/>
      <c r="K85" s="425"/>
      <c r="L85" s="468"/>
      <c r="N85" s="469"/>
      <c r="O85" s="425"/>
      <c r="P85" s="425"/>
      <c r="Q85" s="425"/>
      <c r="R85" s="425"/>
      <c r="S85" s="425"/>
      <c r="T85" s="468"/>
      <c r="V85" s="469"/>
      <c r="W85" s="425"/>
      <c r="X85" s="425"/>
      <c r="Y85" s="425"/>
      <c r="Z85" s="425"/>
      <c r="AA85" s="425"/>
      <c r="AB85" s="425"/>
      <c r="AC85" s="425"/>
      <c r="AD85" s="425"/>
      <c r="AE85" s="425"/>
      <c r="AF85" s="407"/>
      <c r="AH85" s="405"/>
      <c r="AI85" s="404"/>
      <c r="AJ85" s="404"/>
      <c r="AK85" s="404"/>
      <c r="AL85" s="404"/>
      <c r="AM85" s="420"/>
      <c r="AN85" s="430"/>
      <c r="AO85" s="469"/>
      <c r="AP85" s="425"/>
      <c r="AQ85" s="425"/>
      <c r="AR85" s="425"/>
      <c r="AS85" s="425"/>
      <c r="AT85" s="425"/>
      <c r="AU85" s="425"/>
      <c r="AV85" s="425"/>
      <c r="AW85" s="425"/>
      <c r="AX85" s="425"/>
      <c r="AY85" s="425"/>
      <c r="AZ85" s="425"/>
      <c r="BA85" s="425"/>
      <c r="BB85" s="425"/>
      <c r="BC85" s="425"/>
      <c r="BD85" s="425"/>
      <c r="BE85" s="425"/>
      <c r="BF85" s="425"/>
      <c r="BG85" s="468"/>
    </row>
    <row r="86" spans="1:61" x14ac:dyDescent="0.25">
      <c r="A86"/>
      <c r="B86" s="462"/>
      <c r="C86" s="463" t="s">
        <v>715</v>
      </c>
      <c r="D86" s="443"/>
      <c r="E86" s="424"/>
      <c r="F86" s="443"/>
      <c r="G86" s="462"/>
      <c r="H86" s="443"/>
      <c r="I86" s="443"/>
      <c r="J86" s="443"/>
      <c r="K86" s="443"/>
      <c r="L86" s="463"/>
      <c r="M86" s="443"/>
      <c r="N86" s="462"/>
      <c r="O86" s="443"/>
      <c r="P86" s="443"/>
      <c r="Q86" s="443"/>
      <c r="R86" s="443"/>
      <c r="S86" s="443"/>
      <c r="T86" s="463"/>
      <c r="U86" s="443"/>
      <c r="V86" s="462"/>
      <c r="W86" s="443"/>
      <c r="X86" s="443"/>
      <c r="Y86" s="443"/>
      <c r="Z86" s="443"/>
      <c r="AA86" s="443"/>
      <c r="AB86" s="443"/>
      <c r="AC86" s="443"/>
      <c r="AD86" s="443"/>
      <c r="AE86" s="443"/>
      <c r="AF86" s="434"/>
      <c r="AG86" s="443"/>
      <c r="AH86" s="423"/>
      <c r="AI86" s="443"/>
      <c r="AJ86" s="443"/>
      <c r="AK86" s="443"/>
      <c r="AL86" s="443"/>
      <c r="AM86" s="463"/>
      <c r="AN86" s="443"/>
      <c r="AO86" s="462"/>
      <c r="AP86" s="443"/>
      <c r="AQ86" s="443"/>
      <c r="AR86" s="443"/>
      <c r="AS86" s="443"/>
      <c r="AT86" s="443"/>
      <c r="AU86" s="443"/>
      <c r="AV86" s="443"/>
      <c r="AW86" s="443"/>
      <c r="AX86" s="443"/>
      <c r="AY86" s="443"/>
      <c r="AZ86" s="443"/>
      <c r="BA86" s="443"/>
      <c r="BB86" s="443"/>
      <c r="BC86" s="443"/>
      <c r="BD86" s="443"/>
      <c r="BE86" s="443"/>
      <c r="BF86" s="443"/>
      <c r="BG86" s="463"/>
      <c r="BH86" s="443"/>
      <c r="BI86" s="443"/>
    </row>
    <row r="87" spans="1:61" x14ac:dyDescent="0.25">
      <c r="A87"/>
      <c r="B87" s="462"/>
      <c r="C87" s="463" t="s">
        <v>716</v>
      </c>
      <c r="D87" s="443"/>
      <c r="E87" s="424"/>
      <c r="F87" s="443"/>
      <c r="G87" s="462"/>
      <c r="H87" s="443"/>
      <c r="I87" s="443"/>
      <c r="J87" s="443"/>
      <c r="K87" s="443"/>
      <c r="L87" s="463"/>
      <c r="M87" s="443"/>
      <c r="N87" s="462"/>
      <c r="O87" s="443"/>
      <c r="P87" s="443"/>
      <c r="Q87" s="443"/>
      <c r="R87" s="443"/>
      <c r="S87" s="443"/>
      <c r="T87" s="463"/>
      <c r="U87" s="443"/>
      <c r="V87" s="462"/>
      <c r="W87" s="443"/>
      <c r="X87" s="443"/>
      <c r="Y87" s="443"/>
      <c r="Z87" s="443"/>
      <c r="AA87" s="443"/>
      <c r="AB87" s="443"/>
      <c r="AC87" s="443"/>
      <c r="AD87" s="443"/>
      <c r="AE87" s="443"/>
      <c r="AF87" s="434"/>
      <c r="AG87" s="443"/>
      <c r="AH87" s="423"/>
      <c r="AI87" s="443"/>
      <c r="AJ87" s="443"/>
      <c r="AK87" s="443"/>
      <c r="AL87" s="443"/>
      <c r="AM87" s="463"/>
      <c r="AN87" s="443"/>
      <c r="AO87" s="462"/>
      <c r="AP87" s="443"/>
      <c r="AQ87" s="443"/>
      <c r="AR87" s="443"/>
      <c r="AS87" s="443"/>
      <c r="AT87" s="443"/>
      <c r="AU87" s="443"/>
      <c r="AV87" s="443"/>
      <c r="AW87" s="443"/>
      <c r="AX87" s="443"/>
      <c r="AY87" s="443"/>
      <c r="AZ87" s="443"/>
      <c r="BA87" s="443"/>
      <c r="BB87" s="443"/>
      <c r="BC87" s="443"/>
      <c r="BD87" s="443"/>
      <c r="BE87" s="443"/>
      <c r="BF87" s="443"/>
      <c r="BG87" s="463"/>
      <c r="BH87" s="443"/>
      <c r="BI87" s="443"/>
    </row>
    <row r="88" spans="1:61" x14ac:dyDescent="0.25">
      <c r="A88"/>
      <c r="B88" s="464"/>
      <c r="C88" s="465" t="s">
        <v>717</v>
      </c>
      <c r="D88" s="443"/>
      <c r="E88" s="410"/>
      <c r="F88" s="443"/>
      <c r="G88" s="464"/>
      <c r="H88" s="437"/>
      <c r="I88" s="437"/>
      <c r="J88" s="437"/>
      <c r="K88" s="437"/>
      <c r="L88" s="465"/>
      <c r="M88" s="443"/>
      <c r="N88" s="464"/>
      <c r="O88" s="437"/>
      <c r="P88" s="437"/>
      <c r="Q88" s="437"/>
      <c r="R88" s="437"/>
      <c r="S88" s="437"/>
      <c r="T88" s="465"/>
      <c r="U88" s="443"/>
      <c r="V88" s="464"/>
      <c r="W88" s="437"/>
      <c r="X88" s="437"/>
      <c r="Y88" s="437"/>
      <c r="Z88" s="437"/>
      <c r="AA88" s="437"/>
      <c r="AB88" s="437"/>
      <c r="AC88" s="437"/>
      <c r="AD88" s="437"/>
      <c r="AE88" s="437"/>
      <c r="AF88" s="440"/>
      <c r="AG88" s="443"/>
      <c r="AH88" s="433"/>
      <c r="AI88" s="428"/>
      <c r="AJ88" s="428"/>
      <c r="AK88" s="428"/>
      <c r="AL88" s="428"/>
      <c r="AM88" s="422"/>
      <c r="AN88" s="430"/>
      <c r="AO88" s="464"/>
      <c r="AP88" s="437"/>
      <c r="AQ88" s="437"/>
      <c r="AR88" s="437"/>
      <c r="AS88" s="437"/>
      <c r="AT88" s="437"/>
      <c r="AU88" s="437"/>
      <c r="AV88" s="437"/>
      <c r="AW88" s="437"/>
      <c r="AX88" s="437"/>
      <c r="AY88" s="437"/>
      <c r="AZ88" s="437"/>
      <c r="BA88" s="437"/>
      <c r="BB88" s="437"/>
      <c r="BC88" s="437"/>
      <c r="BD88" s="437"/>
      <c r="BE88" s="437"/>
      <c r="BF88" s="437"/>
      <c r="BG88" s="465"/>
      <c r="BH88" s="443"/>
      <c r="BI88" s="443"/>
    </row>
    <row r="89" spans="1:61" s="443" customFormat="1" x14ac:dyDescent="0.25">
      <c r="A89" s="134"/>
      <c r="B89" s="469" t="s">
        <v>735</v>
      </c>
      <c r="C89" s="468" t="s">
        <v>714</v>
      </c>
      <c r="E89" s="408"/>
      <c r="G89" s="469"/>
      <c r="H89" s="425"/>
      <c r="I89" s="425"/>
      <c r="J89" s="425"/>
      <c r="K89" s="425"/>
      <c r="L89" s="468"/>
      <c r="N89" s="469"/>
      <c r="O89" s="425"/>
      <c r="P89" s="425"/>
      <c r="Q89" s="425"/>
      <c r="R89" s="425"/>
      <c r="S89" s="425"/>
      <c r="T89" s="468"/>
      <c r="V89" s="469"/>
      <c r="W89" s="425"/>
      <c r="X89" s="425"/>
      <c r="Y89" s="425"/>
      <c r="Z89" s="425"/>
      <c r="AA89" s="425"/>
      <c r="AB89" s="425"/>
      <c r="AC89" s="425"/>
      <c r="AD89" s="425"/>
      <c r="AE89" s="425"/>
      <c r="AF89" s="407"/>
      <c r="AH89" s="405"/>
      <c r="AI89" s="404"/>
      <c r="AJ89" s="404"/>
      <c r="AK89" s="404"/>
      <c r="AL89" s="404"/>
      <c r="AM89" s="420"/>
      <c r="AN89" s="430"/>
      <c r="AO89" s="469"/>
      <c r="AP89" s="425"/>
      <c r="AQ89" s="425"/>
      <c r="AR89" s="425"/>
      <c r="AS89" s="425"/>
      <c r="AT89" s="425"/>
      <c r="AU89" s="425"/>
      <c r="AV89" s="425"/>
      <c r="AW89" s="425"/>
      <c r="AX89" s="425"/>
      <c r="AY89" s="425"/>
      <c r="AZ89" s="425"/>
      <c r="BA89" s="425"/>
      <c r="BB89" s="425"/>
      <c r="BC89" s="425"/>
      <c r="BD89" s="425"/>
      <c r="BE89" s="425"/>
      <c r="BF89" s="425"/>
      <c r="BG89" s="468"/>
    </row>
    <row r="90" spans="1:61" x14ac:dyDescent="0.25">
      <c r="A90"/>
      <c r="B90" s="462"/>
      <c r="C90" s="463" t="s">
        <v>715</v>
      </c>
      <c r="D90" s="443"/>
      <c r="E90" s="424"/>
      <c r="F90" s="443"/>
      <c r="G90" s="462"/>
      <c r="H90" s="443"/>
      <c r="I90" s="443"/>
      <c r="J90" s="443"/>
      <c r="K90" s="443"/>
      <c r="L90" s="463"/>
      <c r="M90" s="443"/>
      <c r="N90" s="462"/>
      <c r="O90" s="443"/>
      <c r="P90" s="443"/>
      <c r="Q90" s="443"/>
      <c r="R90" s="443"/>
      <c r="S90" s="443"/>
      <c r="T90" s="463"/>
      <c r="U90" s="443"/>
      <c r="V90" s="462"/>
      <c r="W90" s="443"/>
      <c r="X90" s="443"/>
      <c r="Y90" s="443"/>
      <c r="Z90" s="443"/>
      <c r="AA90" s="443"/>
      <c r="AB90" s="443"/>
      <c r="AC90" s="443"/>
      <c r="AD90" s="443"/>
      <c r="AE90" s="443"/>
      <c r="AF90" s="434"/>
      <c r="AG90" s="443"/>
      <c r="AH90" s="423"/>
      <c r="AI90" s="443"/>
      <c r="AJ90" s="443"/>
      <c r="AK90" s="443"/>
      <c r="AL90" s="443"/>
      <c r="AM90" s="463"/>
      <c r="AN90" s="443"/>
      <c r="AO90" s="462"/>
      <c r="AP90" s="443"/>
      <c r="AQ90" s="443"/>
      <c r="AR90" s="443"/>
      <c r="AS90" s="443"/>
      <c r="AT90" s="443"/>
      <c r="AU90" s="443"/>
      <c r="AV90" s="443"/>
      <c r="AW90" s="443"/>
      <c r="AX90" s="443"/>
      <c r="AY90" s="443"/>
      <c r="AZ90" s="443"/>
      <c r="BA90" s="443"/>
      <c r="BB90" s="443"/>
      <c r="BC90" s="443"/>
      <c r="BD90" s="443"/>
      <c r="BE90" s="443"/>
      <c r="BF90" s="443"/>
      <c r="BG90" s="463"/>
      <c r="BH90" s="443"/>
      <c r="BI90" s="443"/>
    </row>
    <row r="91" spans="1:61" x14ac:dyDescent="0.25">
      <c r="A91"/>
      <c r="B91" s="462"/>
      <c r="C91" s="463" t="s">
        <v>716</v>
      </c>
      <c r="D91" s="443"/>
      <c r="E91" s="424"/>
      <c r="F91" s="443"/>
      <c r="G91" s="462"/>
      <c r="H91" s="443"/>
      <c r="I91" s="443"/>
      <c r="J91" s="443"/>
      <c r="K91" s="443"/>
      <c r="L91" s="463"/>
      <c r="M91" s="443"/>
      <c r="N91" s="462"/>
      <c r="O91" s="443"/>
      <c r="P91" s="443"/>
      <c r="Q91" s="443"/>
      <c r="R91" s="443"/>
      <c r="S91" s="443"/>
      <c r="T91" s="463"/>
      <c r="U91" s="443"/>
      <c r="V91" s="462"/>
      <c r="W91" s="443"/>
      <c r="X91" s="443"/>
      <c r="Y91" s="443"/>
      <c r="Z91" s="443"/>
      <c r="AA91" s="443"/>
      <c r="AB91" s="443"/>
      <c r="AC91" s="443"/>
      <c r="AD91" s="443"/>
      <c r="AE91" s="443"/>
      <c r="AF91" s="434"/>
      <c r="AG91" s="443"/>
      <c r="AH91" s="423"/>
      <c r="AI91" s="443"/>
      <c r="AJ91" s="443"/>
      <c r="AK91" s="443"/>
      <c r="AL91" s="443"/>
      <c r="AM91" s="463"/>
      <c r="AN91" s="443"/>
      <c r="AO91" s="462"/>
      <c r="AP91" s="443"/>
      <c r="AQ91" s="443"/>
      <c r="AR91" s="443"/>
      <c r="AS91" s="443"/>
      <c r="AT91" s="443"/>
      <c r="AU91" s="443"/>
      <c r="AV91" s="443"/>
      <c r="AW91" s="443"/>
      <c r="AX91" s="443"/>
      <c r="AY91" s="443"/>
      <c r="AZ91" s="443"/>
      <c r="BA91" s="443"/>
      <c r="BB91" s="443"/>
      <c r="BC91" s="443"/>
      <c r="BD91" s="443"/>
      <c r="BE91" s="443"/>
      <c r="BF91" s="443"/>
      <c r="BG91" s="463"/>
      <c r="BH91" s="443"/>
      <c r="BI91" s="443"/>
    </row>
    <row r="92" spans="1:61" x14ac:dyDescent="0.25">
      <c r="A92"/>
      <c r="B92" s="464"/>
      <c r="C92" s="465" t="s">
        <v>717</v>
      </c>
      <c r="D92" s="443"/>
      <c r="E92" s="410"/>
      <c r="F92" s="443"/>
      <c r="G92" s="464"/>
      <c r="H92" s="437"/>
      <c r="I92" s="437"/>
      <c r="J92" s="437"/>
      <c r="K92" s="437"/>
      <c r="L92" s="465"/>
      <c r="M92" s="443"/>
      <c r="N92" s="464"/>
      <c r="O92" s="437"/>
      <c r="P92" s="437"/>
      <c r="Q92" s="437"/>
      <c r="R92" s="437"/>
      <c r="S92" s="437"/>
      <c r="T92" s="465"/>
      <c r="U92" s="443"/>
      <c r="V92" s="464"/>
      <c r="W92" s="437"/>
      <c r="X92" s="437"/>
      <c r="Y92" s="437"/>
      <c r="Z92" s="437"/>
      <c r="AA92" s="437"/>
      <c r="AB92" s="437"/>
      <c r="AC92" s="437"/>
      <c r="AD92" s="437"/>
      <c r="AE92" s="437"/>
      <c r="AF92" s="440"/>
      <c r="AG92" s="443"/>
      <c r="AH92" s="433"/>
      <c r="AI92" s="428"/>
      <c r="AJ92" s="428"/>
      <c r="AK92" s="428"/>
      <c r="AL92" s="428"/>
      <c r="AM92" s="422"/>
      <c r="AN92" s="430"/>
      <c r="AO92" s="464"/>
      <c r="AP92" s="437"/>
      <c r="AQ92" s="437"/>
      <c r="AR92" s="437"/>
      <c r="AS92" s="437"/>
      <c r="AT92" s="437"/>
      <c r="AU92" s="437"/>
      <c r="AV92" s="437"/>
      <c r="AW92" s="437"/>
      <c r="AX92" s="437"/>
      <c r="AY92" s="437"/>
      <c r="AZ92" s="437"/>
      <c r="BA92" s="437"/>
      <c r="BB92" s="437"/>
      <c r="BC92" s="437"/>
      <c r="BD92" s="437"/>
      <c r="BE92" s="437"/>
      <c r="BF92" s="437"/>
      <c r="BG92" s="465"/>
      <c r="BH92" s="443"/>
      <c r="BI92" s="443"/>
    </row>
    <row r="93" spans="1:61" s="443" customFormat="1" x14ac:dyDescent="0.25">
      <c r="A93" s="134"/>
      <c r="B93" s="470" t="s">
        <v>736</v>
      </c>
      <c r="C93" s="468" t="s">
        <v>714</v>
      </c>
      <c r="E93" s="424"/>
      <c r="G93" s="462"/>
      <c r="L93" s="463"/>
      <c r="N93" s="462"/>
      <c r="T93" s="463"/>
      <c r="V93" s="462"/>
      <c r="AF93" s="434"/>
      <c r="AH93" s="423"/>
      <c r="AI93" s="430"/>
      <c r="AJ93" s="430"/>
      <c r="AK93" s="430"/>
      <c r="AL93" s="430"/>
      <c r="AM93" s="418"/>
      <c r="AN93" s="430"/>
      <c r="AO93" s="462"/>
      <c r="BG93" s="463"/>
    </row>
    <row r="94" spans="1:61" x14ac:dyDescent="0.25">
      <c r="A94"/>
      <c r="B94" s="462"/>
      <c r="C94" s="463" t="s">
        <v>715</v>
      </c>
      <c r="D94" s="443"/>
      <c r="E94" s="424"/>
      <c r="F94" s="443"/>
      <c r="G94" s="462"/>
      <c r="H94" s="443"/>
      <c r="I94" s="443"/>
      <c r="J94" s="443"/>
      <c r="K94" s="443"/>
      <c r="L94" s="463"/>
      <c r="M94" s="443"/>
      <c r="N94" s="462"/>
      <c r="O94" s="443"/>
      <c r="P94" s="443"/>
      <c r="Q94" s="443"/>
      <c r="R94" s="443"/>
      <c r="S94" s="443"/>
      <c r="T94" s="463"/>
      <c r="U94" s="443"/>
      <c r="V94" s="462"/>
      <c r="W94" s="443"/>
      <c r="X94" s="443"/>
      <c r="Y94" s="443"/>
      <c r="Z94" s="443"/>
      <c r="AA94" s="443"/>
      <c r="AB94" s="443"/>
      <c r="AC94" s="443"/>
      <c r="AD94" s="443"/>
      <c r="AE94" s="443"/>
      <c r="AF94" s="434"/>
      <c r="AG94" s="443"/>
      <c r="AH94" s="423"/>
      <c r="AI94" s="430"/>
      <c r="AJ94" s="430"/>
      <c r="AK94" s="430"/>
      <c r="AL94" s="430"/>
      <c r="AM94" s="418"/>
      <c r="AN94" s="430"/>
      <c r="AO94" s="462"/>
      <c r="AP94" s="443"/>
      <c r="AQ94" s="443"/>
      <c r="AR94" s="443"/>
      <c r="AS94" s="443"/>
      <c r="AT94" s="443"/>
      <c r="AU94" s="443"/>
      <c r="AV94" s="443"/>
      <c r="AW94" s="443"/>
      <c r="AX94" s="443"/>
      <c r="AY94" s="443"/>
      <c r="AZ94" s="443"/>
      <c r="BA94" s="443"/>
      <c r="BB94" s="443"/>
      <c r="BC94" s="443"/>
      <c r="BD94" s="443"/>
      <c r="BE94" s="443"/>
      <c r="BF94" s="443"/>
      <c r="BG94" s="463"/>
      <c r="BH94" s="443"/>
      <c r="BI94" s="443"/>
    </row>
    <row r="95" spans="1:61" x14ac:dyDescent="0.25">
      <c r="A95"/>
      <c r="B95" s="462"/>
      <c r="C95" s="463" t="s">
        <v>716</v>
      </c>
      <c r="D95" s="443"/>
      <c r="E95" s="424"/>
      <c r="F95" s="443"/>
      <c r="G95" s="462"/>
      <c r="H95" s="443"/>
      <c r="I95" s="443"/>
      <c r="J95" s="443"/>
      <c r="K95" s="443"/>
      <c r="L95" s="463"/>
      <c r="M95" s="443"/>
      <c r="N95" s="462"/>
      <c r="O95" s="443"/>
      <c r="P95" s="443"/>
      <c r="Q95" s="443"/>
      <c r="R95" s="443"/>
      <c r="S95" s="443"/>
      <c r="T95" s="463"/>
      <c r="U95" s="443"/>
      <c r="V95" s="462"/>
      <c r="W95" s="443"/>
      <c r="X95" s="443"/>
      <c r="Y95" s="443"/>
      <c r="Z95" s="443"/>
      <c r="AA95" s="443"/>
      <c r="AB95" s="443"/>
      <c r="AC95" s="443"/>
      <c r="AD95" s="443"/>
      <c r="AE95" s="443"/>
      <c r="AF95" s="434"/>
      <c r="AG95" s="443"/>
      <c r="AH95" s="423"/>
      <c r="AI95" s="430"/>
      <c r="AJ95" s="430"/>
      <c r="AK95" s="430"/>
      <c r="AL95" s="430"/>
      <c r="AM95" s="418"/>
      <c r="AN95" s="430"/>
      <c r="AO95" s="462"/>
      <c r="AP95" s="443"/>
      <c r="AQ95" s="443"/>
      <c r="AR95" s="443"/>
      <c r="AS95" s="443"/>
      <c r="AT95" s="443"/>
      <c r="AU95" s="443"/>
      <c r="AV95" s="443"/>
      <c r="AW95" s="443"/>
      <c r="AX95" s="443"/>
      <c r="AY95" s="443"/>
      <c r="AZ95" s="443"/>
      <c r="BA95" s="443"/>
      <c r="BB95" s="443"/>
      <c r="BC95" s="443"/>
      <c r="BD95" s="443"/>
      <c r="BE95" s="443"/>
      <c r="BF95" s="443"/>
      <c r="BG95" s="463"/>
      <c r="BH95" s="443"/>
      <c r="BI95" s="443"/>
    </row>
    <row r="96" spans="1:61" x14ac:dyDescent="0.25">
      <c r="A96"/>
      <c r="B96" s="462"/>
      <c r="C96" s="465" t="s">
        <v>717</v>
      </c>
      <c r="D96" s="443"/>
      <c r="E96" s="410"/>
      <c r="F96" s="443"/>
      <c r="G96" s="464"/>
      <c r="H96" s="437"/>
      <c r="I96" s="437"/>
      <c r="J96" s="437"/>
      <c r="K96" s="437"/>
      <c r="L96" s="465"/>
      <c r="M96" s="443"/>
      <c r="N96" s="464"/>
      <c r="O96" s="437"/>
      <c r="P96" s="437"/>
      <c r="Q96" s="437"/>
      <c r="R96" s="437"/>
      <c r="S96" s="437"/>
      <c r="T96" s="465"/>
      <c r="U96" s="443"/>
      <c r="V96" s="464"/>
      <c r="W96" s="437"/>
      <c r="X96" s="437"/>
      <c r="Y96" s="437"/>
      <c r="Z96" s="437"/>
      <c r="AA96" s="437"/>
      <c r="AB96" s="437"/>
      <c r="AC96" s="437"/>
      <c r="AD96" s="437"/>
      <c r="AE96" s="437"/>
      <c r="AF96" s="440"/>
      <c r="AG96" s="443"/>
      <c r="AH96" s="433"/>
      <c r="AI96" s="428"/>
      <c r="AJ96" s="428"/>
      <c r="AK96" s="428"/>
      <c r="AL96" s="428"/>
      <c r="AM96" s="422"/>
      <c r="AN96" s="430"/>
      <c r="AO96" s="464"/>
      <c r="AP96" s="437"/>
      <c r="AQ96" s="437"/>
      <c r="AR96" s="437"/>
      <c r="AS96" s="437"/>
      <c r="AT96" s="437"/>
      <c r="AU96" s="437"/>
      <c r="AV96" s="437"/>
      <c r="AW96" s="437"/>
      <c r="AX96" s="437"/>
      <c r="AY96" s="437"/>
      <c r="AZ96" s="437"/>
      <c r="BA96" s="437"/>
      <c r="BB96" s="437"/>
      <c r="BC96" s="437"/>
      <c r="BD96" s="437"/>
      <c r="BE96" s="437"/>
      <c r="BF96" s="437"/>
      <c r="BG96" s="465"/>
      <c r="BH96" s="443"/>
      <c r="BI96" s="443"/>
    </row>
    <row r="97" spans="1:61" s="443" customFormat="1" x14ac:dyDescent="0.25">
      <c r="A97" s="134"/>
      <c r="B97" s="470" t="s">
        <v>737</v>
      </c>
      <c r="C97" s="468" t="s">
        <v>714</v>
      </c>
      <c r="E97" s="424"/>
      <c r="G97" s="462"/>
      <c r="L97" s="463"/>
      <c r="N97" s="462"/>
      <c r="T97" s="463"/>
      <c r="V97" s="462"/>
      <c r="AF97" s="434"/>
      <c r="AH97" s="423"/>
      <c r="AI97" s="430"/>
      <c r="AJ97" s="430"/>
      <c r="AK97" s="430"/>
      <c r="AL97" s="430"/>
      <c r="AM97" s="418"/>
      <c r="AN97" s="430"/>
      <c r="AO97" s="462"/>
      <c r="BG97" s="463"/>
    </row>
    <row r="98" spans="1:61" x14ac:dyDescent="0.25">
      <c r="A98"/>
      <c r="B98" s="462"/>
      <c r="C98" s="463" t="s">
        <v>715</v>
      </c>
      <c r="D98" s="443"/>
      <c r="E98" s="424"/>
      <c r="F98" s="443"/>
      <c r="G98" s="462"/>
      <c r="H98" s="443"/>
      <c r="I98" s="443"/>
      <c r="J98" s="443"/>
      <c r="K98" s="443"/>
      <c r="L98" s="463"/>
      <c r="M98" s="443"/>
      <c r="N98" s="462"/>
      <c r="O98" s="443"/>
      <c r="P98" s="443"/>
      <c r="Q98" s="443"/>
      <c r="R98" s="443"/>
      <c r="S98" s="443"/>
      <c r="T98" s="463"/>
      <c r="U98" s="443"/>
      <c r="V98" s="462"/>
      <c r="W98" s="443"/>
      <c r="X98" s="443"/>
      <c r="Y98" s="443"/>
      <c r="Z98" s="443"/>
      <c r="AA98" s="443"/>
      <c r="AB98" s="443"/>
      <c r="AC98" s="443"/>
      <c r="AD98" s="443"/>
      <c r="AE98" s="443"/>
      <c r="AF98" s="434"/>
      <c r="AG98" s="443"/>
      <c r="AH98" s="423"/>
      <c r="AI98" s="430"/>
      <c r="AJ98" s="430"/>
      <c r="AK98" s="430"/>
      <c r="AL98" s="430"/>
      <c r="AM98" s="418"/>
      <c r="AN98" s="430"/>
      <c r="AO98" s="462"/>
      <c r="AP98" s="443"/>
      <c r="AQ98" s="443"/>
      <c r="AR98" s="443"/>
      <c r="AS98" s="443"/>
      <c r="AT98" s="443"/>
      <c r="AU98" s="443"/>
      <c r="AV98" s="443"/>
      <c r="AW98" s="443"/>
      <c r="AX98" s="443"/>
      <c r="AY98" s="443"/>
      <c r="AZ98" s="443"/>
      <c r="BA98" s="443"/>
      <c r="BB98" s="443"/>
      <c r="BC98" s="443"/>
      <c r="BD98" s="443"/>
      <c r="BE98" s="443"/>
      <c r="BF98" s="443"/>
      <c r="BG98" s="463"/>
      <c r="BH98" s="443"/>
      <c r="BI98" s="443"/>
    </row>
    <row r="99" spans="1:61" x14ac:dyDescent="0.25">
      <c r="A99"/>
      <c r="B99" s="462"/>
      <c r="C99" s="463" t="s">
        <v>716</v>
      </c>
      <c r="D99" s="443"/>
      <c r="E99" s="424"/>
      <c r="F99" s="443"/>
      <c r="G99" s="462"/>
      <c r="H99" s="443"/>
      <c r="I99" s="443"/>
      <c r="J99" s="443"/>
      <c r="K99" s="443"/>
      <c r="L99" s="463"/>
      <c r="M99" s="443"/>
      <c r="N99" s="462"/>
      <c r="O99" s="443"/>
      <c r="P99" s="443"/>
      <c r="Q99" s="443"/>
      <c r="R99" s="443"/>
      <c r="S99" s="443"/>
      <c r="T99" s="463"/>
      <c r="U99" s="443"/>
      <c r="V99" s="462"/>
      <c r="W99" s="443"/>
      <c r="X99" s="443"/>
      <c r="Y99" s="443"/>
      <c r="Z99" s="443"/>
      <c r="AA99" s="443"/>
      <c r="AB99" s="443"/>
      <c r="AC99" s="443"/>
      <c r="AD99" s="443"/>
      <c r="AE99" s="443"/>
      <c r="AF99" s="434"/>
      <c r="AG99" s="443"/>
      <c r="AH99" s="423"/>
      <c r="AI99" s="430"/>
      <c r="AJ99" s="430"/>
      <c r="AK99" s="430"/>
      <c r="AL99" s="430"/>
      <c r="AM99" s="418"/>
      <c r="AN99" s="430"/>
      <c r="AO99" s="462"/>
      <c r="AP99" s="443"/>
      <c r="AQ99" s="443"/>
      <c r="AR99" s="443"/>
      <c r="AS99" s="443"/>
      <c r="AT99" s="443"/>
      <c r="AU99" s="443"/>
      <c r="AV99" s="443"/>
      <c r="AW99" s="443"/>
      <c r="AX99" s="443"/>
      <c r="AY99" s="443"/>
      <c r="AZ99" s="443"/>
      <c r="BA99" s="443"/>
      <c r="BB99" s="443"/>
      <c r="BC99" s="443"/>
      <c r="BD99" s="443"/>
      <c r="BE99" s="443"/>
      <c r="BF99" s="443"/>
      <c r="BG99" s="463"/>
      <c r="BH99" s="443"/>
      <c r="BI99" s="443"/>
    </row>
    <row r="100" spans="1:61" x14ac:dyDescent="0.25">
      <c r="A100"/>
      <c r="B100" s="462"/>
      <c r="C100" s="465" t="s">
        <v>717</v>
      </c>
      <c r="D100" s="443"/>
      <c r="E100" s="424"/>
      <c r="F100" s="443"/>
      <c r="G100" s="462"/>
      <c r="H100" s="443"/>
      <c r="I100" s="443"/>
      <c r="J100" s="443"/>
      <c r="K100" s="443"/>
      <c r="L100" s="463"/>
      <c r="M100" s="443"/>
      <c r="N100" s="462"/>
      <c r="O100" s="443"/>
      <c r="P100" s="443"/>
      <c r="Q100" s="443"/>
      <c r="R100" s="443"/>
      <c r="S100" s="443"/>
      <c r="T100" s="463"/>
      <c r="U100" s="443"/>
      <c r="V100" s="462"/>
      <c r="W100" s="443"/>
      <c r="X100" s="443"/>
      <c r="Y100" s="443"/>
      <c r="Z100" s="443"/>
      <c r="AA100" s="443"/>
      <c r="AB100" s="443"/>
      <c r="AC100" s="443"/>
      <c r="AD100" s="443"/>
      <c r="AE100" s="443"/>
      <c r="AF100" s="440"/>
      <c r="AG100" s="443"/>
      <c r="AH100" s="423"/>
      <c r="AI100" s="430"/>
      <c r="AJ100" s="430"/>
      <c r="AK100" s="430"/>
      <c r="AL100" s="430"/>
      <c r="AM100" s="418"/>
      <c r="AN100" s="430"/>
      <c r="AO100" s="462"/>
      <c r="AP100" s="443"/>
      <c r="AQ100" s="443"/>
      <c r="AR100" s="443"/>
      <c r="AS100" s="443"/>
      <c r="AT100" s="443"/>
      <c r="AU100" s="443"/>
      <c r="AV100" s="443"/>
      <c r="AW100" s="443"/>
      <c r="AX100" s="443"/>
      <c r="AY100" s="443"/>
      <c r="AZ100" s="443"/>
      <c r="BA100" s="443"/>
      <c r="BB100" s="443"/>
      <c r="BC100" s="443"/>
      <c r="BD100" s="443"/>
      <c r="BE100" s="443"/>
      <c r="BF100" s="443"/>
      <c r="BG100" s="463"/>
      <c r="BH100" s="443"/>
      <c r="BI100" s="443"/>
    </row>
    <row r="101" spans="1:61" s="443" customFormat="1" x14ac:dyDescent="0.25">
      <c r="A101" s="134"/>
      <c r="B101" s="469" t="s">
        <v>738</v>
      </c>
      <c r="C101" s="468" t="s">
        <v>714</v>
      </c>
      <c r="E101" s="408"/>
      <c r="G101" s="469"/>
      <c r="H101" s="425"/>
      <c r="I101" s="425"/>
      <c r="J101" s="425"/>
      <c r="K101" s="425"/>
      <c r="L101" s="468"/>
      <c r="N101" s="469"/>
      <c r="O101" s="425"/>
      <c r="P101" s="425"/>
      <c r="Q101" s="425"/>
      <c r="R101" s="425"/>
      <c r="S101" s="425"/>
      <c r="T101" s="468"/>
      <c r="V101" s="469"/>
      <c r="W101" s="425"/>
      <c r="X101" s="425"/>
      <c r="Y101" s="425"/>
      <c r="Z101" s="425"/>
      <c r="AA101" s="425"/>
      <c r="AB101" s="425"/>
      <c r="AC101" s="425"/>
      <c r="AD101" s="425"/>
      <c r="AE101" s="425"/>
      <c r="AF101" s="407"/>
      <c r="AH101" s="405"/>
      <c r="AI101" s="404"/>
      <c r="AJ101" s="404"/>
      <c r="AK101" s="404"/>
      <c r="AL101" s="404"/>
      <c r="AM101" s="420"/>
      <c r="AN101" s="430"/>
      <c r="AO101" s="469"/>
      <c r="AP101" s="425"/>
      <c r="AQ101" s="425"/>
      <c r="AR101" s="425"/>
      <c r="AS101" s="425"/>
      <c r="AT101" s="425"/>
      <c r="AU101" s="425"/>
      <c r="AV101" s="425"/>
      <c r="AW101" s="425"/>
      <c r="AX101" s="425"/>
      <c r="AY101" s="425"/>
      <c r="AZ101" s="425"/>
      <c r="BA101" s="425"/>
      <c r="BB101" s="425"/>
      <c r="BC101" s="425"/>
      <c r="BD101" s="425"/>
      <c r="BE101" s="425"/>
      <c r="BF101" s="425"/>
      <c r="BG101" s="468"/>
    </row>
    <row r="102" spans="1:61" x14ac:dyDescent="0.25">
      <c r="A102"/>
      <c r="B102" s="462"/>
      <c r="C102" s="463" t="s">
        <v>715</v>
      </c>
      <c r="D102" s="443"/>
      <c r="E102" s="424"/>
      <c r="F102" s="443"/>
      <c r="G102" s="462"/>
      <c r="H102" s="443"/>
      <c r="I102" s="443"/>
      <c r="J102" s="443"/>
      <c r="K102" s="443"/>
      <c r="L102" s="463"/>
      <c r="M102" s="443"/>
      <c r="N102" s="462"/>
      <c r="O102" s="443"/>
      <c r="P102" s="443"/>
      <c r="Q102" s="443"/>
      <c r="R102" s="443"/>
      <c r="S102" s="443"/>
      <c r="T102" s="463"/>
      <c r="U102" s="443"/>
      <c r="V102" s="462"/>
      <c r="W102" s="443"/>
      <c r="X102" s="443"/>
      <c r="Y102" s="443"/>
      <c r="Z102" s="443"/>
      <c r="AA102" s="443"/>
      <c r="AB102" s="443"/>
      <c r="AC102" s="443"/>
      <c r="AD102" s="443"/>
      <c r="AE102" s="443"/>
      <c r="AF102" s="434"/>
      <c r="AG102" s="443"/>
      <c r="AH102" s="423"/>
      <c r="AI102" s="443"/>
      <c r="AJ102" s="443"/>
      <c r="AK102" s="443"/>
      <c r="AL102" s="443"/>
      <c r="AM102" s="463"/>
      <c r="AN102" s="443"/>
      <c r="AO102" s="462"/>
      <c r="AP102" s="443"/>
      <c r="AQ102" s="443"/>
      <c r="AR102" s="443"/>
      <c r="AS102" s="443"/>
      <c r="AT102" s="443"/>
      <c r="AU102" s="443"/>
      <c r="AV102" s="443"/>
      <c r="AW102" s="443"/>
      <c r="AX102" s="443"/>
      <c r="AY102" s="443"/>
      <c r="AZ102" s="443"/>
      <c r="BA102" s="443"/>
      <c r="BB102" s="443"/>
      <c r="BC102" s="443"/>
      <c r="BD102" s="443"/>
      <c r="BE102" s="443"/>
      <c r="BF102" s="443"/>
      <c r="BG102" s="463"/>
      <c r="BH102" s="443"/>
      <c r="BI102" s="443"/>
    </row>
    <row r="103" spans="1:61" x14ac:dyDescent="0.25">
      <c r="A103"/>
      <c r="B103" s="462"/>
      <c r="C103" s="463" t="s">
        <v>716</v>
      </c>
      <c r="D103" s="443"/>
      <c r="E103" s="424"/>
      <c r="F103" s="443"/>
      <c r="G103" s="462"/>
      <c r="H103" s="443"/>
      <c r="I103" s="443"/>
      <c r="J103" s="443"/>
      <c r="K103" s="443"/>
      <c r="L103" s="463"/>
      <c r="M103" s="443"/>
      <c r="N103" s="462"/>
      <c r="O103" s="443"/>
      <c r="P103" s="443"/>
      <c r="Q103" s="443"/>
      <c r="R103" s="443"/>
      <c r="S103" s="443"/>
      <c r="T103" s="463"/>
      <c r="U103" s="443"/>
      <c r="V103" s="462"/>
      <c r="W103" s="443"/>
      <c r="X103" s="443"/>
      <c r="Y103" s="443"/>
      <c r="Z103" s="443"/>
      <c r="AA103" s="443"/>
      <c r="AB103" s="443"/>
      <c r="AC103" s="443"/>
      <c r="AD103" s="443"/>
      <c r="AE103" s="443"/>
      <c r="AF103" s="434"/>
      <c r="AG103" s="443"/>
      <c r="AH103" s="423"/>
      <c r="AI103" s="443"/>
      <c r="AJ103" s="443"/>
      <c r="AK103" s="443"/>
      <c r="AL103" s="443"/>
      <c r="AM103" s="463"/>
      <c r="AN103" s="443"/>
      <c r="AO103" s="462"/>
      <c r="AP103" s="443"/>
      <c r="AQ103" s="443"/>
      <c r="AR103" s="443"/>
      <c r="AS103" s="443"/>
      <c r="AT103" s="443"/>
      <c r="AU103" s="443"/>
      <c r="AV103" s="443"/>
      <c r="AW103" s="443"/>
      <c r="AX103" s="443"/>
      <c r="AY103" s="443"/>
      <c r="AZ103" s="443"/>
      <c r="BA103" s="443"/>
      <c r="BB103" s="443"/>
      <c r="BC103" s="443"/>
      <c r="BD103" s="443"/>
      <c r="BE103" s="443"/>
      <c r="BF103" s="443"/>
      <c r="BG103" s="463"/>
      <c r="BH103" s="443"/>
      <c r="BI103" s="443"/>
    </row>
    <row r="104" spans="1:61" x14ac:dyDescent="0.25">
      <c r="A104"/>
      <c r="B104" s="464"/>
      <c r="C104" s="465" t="s">
        <v>717</v>
      </c>
      <c r="D104" s="443"/>
      <c r="E104" s="410"/>
      <c r="F104" s="443"/>
      <c r="G104" s="464"/>
      <c r="H104" s="437"/>
      <c r="I104" s="437"/>
      <c r="J104" s="437"/>
      <c r="K104" s="437"/>
      <c r="L104" s="465"/>
      <c r="M104" s="443"/>
      <c r="N104" s="464"/>
      <c r="O104" s="437"/>
      <c r="P104" s="437"/>
      <c r="Q104" s="437"/>
      <c r="R104" s="437"/>
      <c r="S104" s="437"/>
      <c r="T104" s="465"/>
      <c r="U104" s="443"/>
      <c r="V104" s="464"/>
      <c r="W104" s="437"/>
      <c r="X104" s="437"/>
      <c r="Y104" s="437"/>
      <c r="Z104" s="437"/>
      <c r="AA104" s="437"/>
      <c r="AB104" s="437"/>
      <c r="AC104" s="437"/>
      <c r="AD104" s="437"/>
      <c r="AE104" s="437"/>
      <c r="AF104" s="440"/>
      <c r="AG104" s="443"/>
      <c r="AH104" s="433"/>
      <c r="AI104" s="428"/>
      <c r="AJ104" s="428"/>
      <c r="AK104" s="428"/>
      <c r="AL104" s="428"/>
      <c r="AM104" s="422"/>
      <c r="AN104" s="430"/>
      <c r="AO104" s="464"/>
      <c r="AP104" s="437"/>
      <c r="AQ104" s="437"/>
      <c r="AR104" s="437"/>
      <c r="AS104" s="437"/>
      <c r="AT104" s="437"/>
      <c r="AU104" s="437"/>
      <c r="AV104" s="437"/>
      <c r="AW104" s="437"/>
      <c r="AX104" s="437"/>
      <c r="AY104" s="437"/>
      <c r="AZ104" s="437"/>
      <c r="BA104" s="437"/>
      <c r="BB104" s="437"/>
      <c r="BC104" s="437"/>
      <c r="BD104" s="437"/>
      <c r="BE104" s="437"/>
      <c r="BF104" s="437"/>
      <c r="BG104" s="465"/>
      <c r="BH104" s="443"/>
      <c r="BI104" s="443"/>
    </row>
    <row r="105" spans="1:61" s="443" customFormat="1" x14ac:dyDescent="0.25">
      <c r="A105" s="134"/>
      <c r="B105" s="469" t="s">
        <v>739</v>
      </c>
      <c r="C105" s="468" t="s">
        <v>714</v>
      </c>
      <c r="E105" s="408"/>
      <c r="G105" s="469"/>
      <c r="H105" s="425"/>
      <c r="I105" s="425"/>
      <c r="J105" s="425"/>
      <c r="K105" s="425"/>
      <c r="L105" s="468"/>
      <c r="N105" s="469"/>
      <c r="O105" s="425"/>
      <c r="P105" s="425"/>
      <c r="Q105" s="425"/>
      <c r="R105" s="425"/>
      <c r="S105" s="425"/>
      <c r="T105" s="468"/>
      <c r="V105" s="469"/>
      <c r="W105" s="425"/>
      <c r="X105" s="425"/>
      <c r="Y105" s="425"/>
      <c r="Z105" s="425"/>
      <c r="AA105" s="425"/>
      <c r="AB105" s="425"/>
      <c r="AC105" s="425"/>
      <c r="AD105" s="425"/>
      <c r="AE105" s="425"/>
      <c r="AF105" s="407"/>
      <c r="AH105" s="405"/>
      <c r="AI105" s="404"/>
      <c r="AJ105" s="404"/>
      <c r="AK105" s="404"/>
      <c r="AL105" s="404"/>
      <c r="AM105" s="420"/>
      <c r="AN105" s="430"/>
      <c r="AO105" s="469"/>
      <c r="AP105" s="425"/>
      <c r="AQ105" s="425"/>
      <c r="AR105" s="425"/>
      <c r="AS105" s="425"/>
      <c r="AT105" s="425"/>
      <c r="AU105" s="425"/>
      <c r="AV105" s="425"/>
      <c r="AW105" s="425"/>
      <c r="AX105" s="425"/>
      <c r="AY105" s="425"/>
      <c r="AZ105" s="425"/>
      <c r="BA105" s="425"/>
      <c r="BB105" s="425"/>
      <c r="BC105" s="425"/>
      <c r="BD105" s="425"/>
      <c r="BE105" s="425"/>
      <c r="BF105" s="425"/>
      <c r="BG105" s="468"/>
    </row>
    <row r="106" spans="1:61" x14ac:dyDescent="0.25">
      <c r="A106"/>
      <c r="B106" s="462"/>
      <c r="C106" s="463" t="s">
        <v>715</v>
      </c>
      <c r="D106" s="443"/>
      <c r="E106" s="424"/>
      <c r="F106" s="443"/>
      <c r="G106" s="462"/>
      <c r="H106" s="443"/>
      <c r="I106" s="443"/>
      <c r="J106" s="443"/>
      <c r="K106" s="443"/>
      <c r="L106" s="463"/>
      <c r="M106" s="443"/>
      <c r="N106" s="462"/>
      <c r="O106" s="443"/>
      <c r="P106" s="443"/>
      <c r="Q106" s="443"/>
      <c r="R106" s="443"/>
      <c r="S106" s="443"/>
      <c r="T106" s="463"/>
      <c r="U106" s="443"/>
      <c r="V106" s="462"/>
      <c r="W106" s="443"/>
      <c r="X106" s="443"/>
      <c r="Y106" s="443"/>
      <c r="Z106" s="443"/>
      <c r="AA106" s="443"/>
      <c r="AB106" s="443"/>
      <c r="AC106" s="443"/>
      <c r="AD106" s="443"/>
      <c r="AE106" s="443"/>
      <c r="AF106" s="434"/>
      <c r="AG106" s="443"/>
      <c r="AH106" s="423"/>
      <c r="AI106" s="443"/>
      <c r="AJ106" s="443"/>
      <c r="AK106" s="443"/>
      <c r="AL106" s="443"/>
      <c r="AM106" s="463"/>
      <c r="AN106" s="443"/>
      <c r="AO106" s="462"/>
      <c r="AP106" s="443"/>
      <c r="AQ106" s="443"/>
      <c r="AR106" s="443"/>
      <c r="AS106" s="443"/>
      <c r="AT106" s="443"/>
      <c r="AU106" s="443"/>
      <c r="AV106" s="443"/>
      <c r="AW106" s="443"/>
      <c r="AX106" s="443"/>
      <c r="AY106" s="443"/>
      <c r="AZ106" s="443"/>
      <c r="BA106" s="443"/>
      <c r="BB106" s="443"/>
      <c r="BC106" s="443"/>
      <c r="BD106" s="443"/>
      <c r="BE106" s="443"/>
      <c r="BF106" s="443"/>
      <c r="BG106" s="463"/>
      <c r="BH106" s="443"/>
      <c r="BI106" s="443"/>
    </row>
    <row r="107" spans="1:61" x14ac:dyDescent="0.25">
      <c r="A107"/>
      <c r="B107" s="462"/>
      <c r="C107" s="463" t="s">
        <v>716</v>
      </c>
      <c r="D107" s="443"/>
      <c r="E107" s="424"/>
      <c r="F107" s="443"/>
      <c r="G107" s="462"/>
      <c r="H107" s="443"/>
      <c r="I107" s="443"/>
      <c r="J107" s="443"/>
      <c r="K107" s="443"/>
      <c r="L107" s="463"/>
      <c r="M107" s="443"/>
      <c r="N107" s="462"/>
      <c r="O107" s="443"/>
      <c r="P107" s="443"/>
      <c r="Q107" s="443"/>
      <c r="R107" s="443"/>
      <c r="S107" s="443"/>
      <c r="T107" s="463"/>
      <c r="U107" s="443"/>
      <c r="V107" s="462"/>
      <c r="W107" s="443"/>
      <c r="X107" s="443"/>
      <c r="Y107" s="443"/>
      <c r="Z107" s="443"/>
      <c r="AA107" s="443"/>
      <c r="AB107" s="443"/>
      <c r="AC107" s="443"/>
      <c r="AD107" s="443"/>
      <c r="AE107" s="443"/>
      <c r="AF107" s="434"/>
      <c r="AG107" s="443"/>
      <c r="AH107" s="423"/>
      <c r="AI107" s="443"/>
      <c r="AJ107" s="443"/>
      <c r="AK107" s="443"/>
      <c r="AL107" s="443"/>
      <c r="AM107" s="463"/>
      <c r="AN107" s="443"/>
      <c r="AO107" s="462"/>
      <c r="AP107" s="443"/>
      <c r="AQ107" s="443"/>
      <c r="AR107" s="443"/>
      <c r="AS107" s="443"/>
      <c r="AT107" s="443"/>
      <c r="AU107" s="443"/>
      <c r="AV107" s="443"/>
      <c r="AW107" s="443"/>
      <c r="AX107" s="443"/>
      <c r="AY107" s="443"/>
      <c r="AZ107" s="443"/>
      <c r="BA107" s="443"/>
      <c r="BB107" s="443"/>
      <c r="BC107" s="443"/>
      <c r="BD107" s="443"/>
      <c r="BE107" s="443"/>
      <c r="BF107" s="443"/>
      <c r="BG107" s="463"/>
      <c r="BH107" s="443"/>
      <c r="BI107" s="443"/>
    </row>
    <row r="108" spans="1:61" x14ac:dyDescent="0.25">
      <c r="A108"/>
      <c r="B108" s="464"/>
      <c r="C108" s="465" t="s">
        <v>717</v>
      </c>
      <c r="D108" s="443"/>
      <c r="E108" s="410"/>
      <c r="F108" s="443"/>
      <c r="G108" s="464"/>
      <c r="H108" s="437"/>
      <c r="I108" s="437"/>
      <c r="J108" s="437"/>
      <c r="K108" s="437"/>
      <c r="L108" s="465"/>
      <c r="M108" s="443"/>
      <c r="N108" s="464"/>
      <c r="O108" s="437"/>
      <c r="P108" s="437"/>
      <c r="Q108" s="437"/>
      <c r="R108" s="437"/>
      <c r="S108" s="437"/>
      <c r="T108" s="465"/>
      <c r="U108" s="443"/>
      <c r="V108" s="464"/>
      <c r="W108" s="437"/>
      <c r="X108" s="437"/>
      <c r="Y108" s="437"/>
      <c r="Z108" s="437"/>
      <c r="AA108" s="437"/>
      <c r="AB108" s="437"/>
      <c r="AC108" s="437"/>
      <c r="AD108" s="437"/>
      <c r="AE108" s="437"/>
      <c r="AF108" s="440"/>
      <c r="AG108" s="443"/>
      <c r="AH108" s="433"/>
      <c r="AI108" s="428"/>
      <c r="AJ108" s="428"/>
      <c r="AK108" s="428"/>
      <c r="AL108" s="428"/>
      <c r="AM108" s="422"/>
      <c r="AN108" s="430"/>
      <c r="AO108" s="464"/>
      <c r="AP108" s="437"/>
      <c r="AQ108" s="437"/>
      <c r="AR108" s="437"/>
      <c r="AS108" s="437"/>
      <c r="AT108" s="437"/>
      <c r="AU108" s="437"/>
      <c r="AV108" s="437"/>
      <c r="AW108" s="437"/>
      <c r="AX108" s="437"/>
      <c r="AY108" s="437"/>
      <c r="AZ108" s="437"/>
      <c r="BA108" s="437"/>
      <c r="BB108" s="437"/>
      <c r="BC108" s="437"/>
      <c r="BD108" s="437"/>
      <c r="BE108" s="437"/>
      <c r="BF108" s="437"/>
      <c r="BG108" s="465"/>
      <c r="BH108" s="443"/>
      <c r="BI108" s="443"/>
    </row>
    <row r="109" spans="1:61" x14ac:dyDescent="0.25">
      <c r="A109"/>
      <c r="B109" s="443"/>
      <c r="C109" s="443"/>
      <c r="D109" s="443"/>
      <c r="E109" s="443"/>
      <c r="F109" s="443"/>
      <c r="G109" s="443"/>
      <c r="H109" s="443"/>
      <c r="I109" s="443"/>
      <c r="J109" s="443"/>
      <c r="K109" s="443"/>
      <c r="L109" s="443"/>
      <c r="M109" s="443"/>
      <c r="N109" s="443"/>
      <c r="O109" s="443"/>
      <c r="P109" s="443"/>
      <c r="Q109" s="443"/>
      <c r="R109" s="443"/>
      <c r="S109" s="443"/>
      <c r="T109" s="443"/>
      <c r="U109" s="443"/>
      <c r="V109" s="443"/>
      <c r="W109" s="443"/>
      <c r="X109" s="443"/>
      <c r="Y109" s="443"/>
      <c r="Z109" s="443"/>
      <c r="AA109" s="443"/>
      <c r="AB109" s="443"/>
      <c r="AC109" s="443"/>
      <c r="AD109" s="443"/>
      <c r="AE109" s="443"/>
      <c r="AF109" s="134"/>
      <c r="AG109" s="443"/>
      <c r="AH109" s="443"/>
      <c r="AI109" s="443"/>
      <c r="AJ109" s="443"/>
      <c r="AK109" s="443"/>
      <c r="AL109" s="443"/>
      <c r="AM109" s="466"/>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c r="BI109" s="443"/>
    </row>
    <row r="110" spans="1:61" s="443" customFormat="1" x14ac:dyDescent="0.25">
      <c r="A110" s="134"/>
      <c r="B110" s="467" t="s">
        <v>740</v>
      </c>
      <c r="C110" s="468" t="s">
        <v>714</v>
      </c>
      <c r="E110" s="408" t="s">
        <v>797</v>
      </c>
      <c r="G110" s="469" t="s">
        <v>798</v>
      </c>
      <c r="H110" s="425"/>
      <c r="I110" s="425"/>
      <c r="J110" s="425"/>
      <c r="K110" s="425"/>
      <c r="L110" s="468"/>
      <c r="N110" s="469" t="s">
        <v>799</v>
      </c>
      <c r="O110" s="425"/>
      <c r="P110" s="425"/>
      <c r="Q110" s="425"/>
      <c r="R110" s="425"/>
      <c r="S110" s="425"/>
      <c r="T110" s="468"/>
      <c r="V110" s="469" t="s">
        <v>800</v>
      </c>
      <c r="W110" s="425"/>
      <c r="X110" s="425"/>
      <c r="Y110" s="425"/>
      <c r="Z110" s="425"/>
      <c r="AA110" s="425"/>
      <c r="AB110" s="425"/>
      <c r="AC110" s="425"/>
      <c r="AD110" s="425"/>
      <c r="AE110" s="425"/>
      <c r="AF110" s="407"/>
      <c r="AH110" s="405" t="s">
        <v>801</v>
      </c>
      <c r="AI110" s="404"/>
      <c r="AJ110" s="404"/>
      <c r="AK110" s="404"/>
      <c r="AL110" s="404"/>
      <c r="AM110" s="420"/>
      <c r="AN110" s="430"/>
      <c r="AO110" s="469" t="s">
        <v>802</v>
      </c>
      <c r="AP110" s="425"/>
      <c r="AQ110" s="425"/>
      <c r="AR110" s="425"/>
      <c r="AS110" s="425"/>
      <c r="AT110" s="425"/>
      <c r="AU110" s="425"/>
      <c r="AV110" s="425"/>
      <c r="AW110" s="425"/>
      <c r="AX110" s="425"/>
      <c r="AY110" s="425"/>
      <c r="AZ110" s="425"/>
      <c r="BA110" s="425"/>
      <c r="BB110" s="425"/>
      <c r="BC110" s="425"/>
      <c r="BD110" s="425"/>
      <c r="BE110" s="425"/>
      <c r="BF110" s="425"/>
      <c r="BG110" s="468"/>
    </row>
    <row r="111" spans="1:61" x14ac:dyDescent="0.25">
      <c r="A111"/>
      <c r="B111" s="462"/>
      <c r="C111" s="463" t="s">
        <v>715</v>
      </c>
      <c r="D111" s="443"/>
      <c r="E111" s="424"/>
      <c r="F111" s="443"/>
      <c r="G111" s="462"/>
      <c r="H111" s="443"/>
      <c r="I111" s="443"/>
      <c r="J111" s="443"/>
      <c r="K111" s="443"/>
      <c r="L111" s="463"/>
      <c r="M111" s="443"/>
      <c r="N111" s="462"/>
      <c r="O111" s="443"/>
      <c r="P111" s="443"/>
      <c r="Q111" s="443"/>
      <c r="R111" s="443"/>
      <c r="S111" s="443"/>
      <c r="T111" s="463"/>
      <c r="U111" s="443"/>
      <c r="V111" s="462"/>
      <c r="W111" s="443"/>
      <c r="X111" s="443"/>
      <c r="Y111" s="443"/>
      <c r="Z111" s="443"/>
      <c r="AA111" s="443"/>
      <c r="AB111" s="443"/>
      <c r="AC111" s="443"/>
      <c r="AD111" s="443"/>
      <c r="AE111" s="443"/>
      <c r="AF111" s="434"/>
      <c r="AG111" s="443"/>
      <c r="AH111" s="423"/>
      <c r="AI111" s="430"/>
      <c r="AJ111" s="430"/>
      <c r="AK111" s="430"/>
      <c r="AL111" s="430"/>
      <c r="AM111" s="418"/>
      <c r="AN111" s="430"/>
      <c r="AO111" s="462"/>
      <c r="AP111" s="443"/>
      <c r="AQ111" s="443"/>
      <c r="AR111" s="443"/>
      <c r="AS111" s="443"/>
      <c r="AT111" s="443"/>
      <c r="AU111" s="443"/>
      <c r="AV111" s="443"/>
      <c r="AW111" s="443"/>
      <c r="AX111" s="443"/>
      <c r="AY111" s="443"/>
      <c r="AZ111" s="443"/>
      <c r="BA111" s="443"/>
      <c r="BB111" s="443"/>
      <c r="BC111" s="443"/>
      <c r="BD111" s="443"/>
      <c r="BE111" s="443"/>
      <c r="BF111" s="443"/>
      <c r="BG111" s="463"/>
      <c r="BH111" s="443"/>
      <c r="BI111" s="443"/>
    </row>
    <row r="112" spans="1:61" x14ac:dyDescent="0.25">
      <c r="A112"/>
      <c r="B112" s="462"/>
      <c r="C112" s="463" t="s">
        <v>716</v>
      </c>
      <c r="D112" s="443"/>
      <c r="E112" s="424"/>
      <c r="F112" s="443"/>
      <c r="G112" s="462"/>
      <c r="H112" s="443"/>
      <c r="I112" s="443"/>
      <c r="J112" s="443"/>
      <c r="K112" s="443"/>
      <c r="L112" s="463"/>
      <c r="M112" s="443"/>
      <c r="N112" s="462"/>
      <c r="O112" s="443"/>
      <c r="P112" s="443"/>
      <c r="Q112" s="443"/>
      <c r="R112" s="443"/>
      <c r="S112" s="443"/>
      <c r="T112" s="463"/>
      <c r="U112" s="443"/>
      <c r="V112" s="462"/>
      <c r="W112" s="443"/>
      <c r="X112" s="443"/>
      <c r="Y112" s="443"/>
      <c r="Z112" s="443"/>
      <c r="AA112" s="443"/>
      <c r="AB112" s="443"/>
      <c r="AC112" s="443"/>
      <c r="AD112" s="443"/>
      <c r="AE112" s="443"/>
      <c r="AF112" s="434"/>
      <c r="AG112" s="443"/>
      <c r="AH112" s="423"/>
      <c r="AI112" s="430"/>
      <c r="AJ112" s="430"/>
      <c r="AK112" s="430"/>
      <c r="AL112" s="430"/>
      <c r="AM112" s="418"/>
      <c r="AN112" s="430"/>
      <c r="AO112" s="462"/>
      <c r="AP112" s="443"/>
      <c r="AQ112" s="443"/>
      <c r="AR112" s="443"/>
      <c r="AS112" s="443"/>
      <c r="AT112" s="443"/>
      <c r="AU112" s="443"/>
      <c r="AV112" s="443"/>
      <c r="AW112" s="443"/>
      <c r="AX112" s="443"/>
      <c r="AY112" s="443"/>
      <c r="AZ112" s="443"/>
      <c r="BA112" s="443"/>
      <c r="BB112" s="443"/>
      <c r="BC112" s="443"/>
      <c r="BD112" s="443"/>
      <c r="BE112" s="443"/>
      <c r="BF112" s="443"/>
      <c r="BG112" s="463"/>
      <c r="BH112" s="443"/>
      <c r="BI112" s="443"/>
    </row>
    <row r="113" spans="1:61" x14ac:dyDescent="0.25">
      <c r="A113"/>
      <c r="B113" s="462"/>
      <c r="C113" s="465" t="s">
        <v>717</v>
      </c>
      <c r="D113" s="443"/>
      <c r="E113" s="424"/>
      <c r="F113" s="443"/>
      <c r="G113" s="462"/>
      <c r="H113" s="443"/>
      <c r="I113" s="443"/>
      <c r="J113" s="443"/>
      <c r="K113" s="443"/>
      <c r="L113" s="463"/>
      <c r="M113" s="443"/>
      <c r="N113" s="462"/>
      <c r="O113" s="443"/>
      <c r="P113" s="443"/>
      <c r="Q113" s="443"/>
      <c r="R113" s="443"/>
      <c r="S113" s="443"/>
      <c r="T113" s="463"/>
      <c r="U113" s="443"/>
      <c r="V113" s="462"/>
      <c r="W113" s="443"/>
      <c r="X113" s="443"/>
      <c r="Y113" s="443"/>
      <c r="Z113" s="443"/>
      <c r="AA113" s="443"/>
      <c r="AB113" s="443"/>
      <c r="AC113" s="443"/>
      <c r="AD113" s="443"/>
      <c r="AE113" s="443"/>
      <c r="AF113" s="434"/>
      <c r="AG113" s="443"/>
      <c r="AH113" s="423"/>
      <c r="AI113" s="430"/>
      <c r="AJ113" s="430"/>
      <c r="AK113" s="430"/>
      <c r="AL113" s="430"/>
      <c r="AM113" s="418"/>
      <c r="AN113" s="430"/>
      <c r="AO113" s="462"/>
      <c r="AP113" s="443"/>
      <c r="AQ113" s="443"/>
      <c r="AR113" s="443"/>
      <c r="AS113" s="443"/>
      <c r="AT113" s="443"/>
      <c r="AU113" s="443"/>
      <c r="AV113" s="443"/>
      <c r="AW113" s="443"/>
      <c r="AX113" s="443"/>
      <c r="AY113" s="443"/>
      <c r="AZ113" s="443"/>
      <c r="BA113" s="443"/>
      <c r="BB113" s="443"/>
      <c r="BC113" s="443"/>
      <c r="BD113" s="443"/>
      <c r="BE113" s="443"/>
      <c r="BF113" s="443"/>
      <c r="BG113" s="463"/>
      <c r="BH113" s="443"/>
      <c r="BI113" s="443"/>
    </row>
    <row r="114" spans="1:61" s="443" customFormat="1" x14ac:dyDescent="0.25">
      <c r="A114" s="134"/>
      <c r="B114" s="469" t="s">
        <v>741</v>
      </c>
      <c r="C114" s="468" t="s">
        <v>714</v>
      </c>
      <c r="E114" s="408"/>
      <c r="G114" s="469"/>
      <c r="H114" s="425"/>
      <c r="I114" s="425"/>
      <c r="J114" s="425"/>
      <c r="K114" s="425"/>
      <c r="L114" s="468"/>
      <c r="N114" s="469"/>
      <c r="O114" s="425"/>
      <c r="P114" s="425"/>
      <c r="Q114" s="425"/>
      <c r="R114" s="425"/>
      <c r="S114" s="425"/>
      <c r="T114" s="468"/>
      <c r="V114" s="469"/>
      <c r="W114" s="425"/>
      <c r="X114" s="425"/>
      <c r="Y114" s="425"/>
      <c r="Z114" s="425"/>
      <c r="AA114" s="425"/>
      <c r="AB114" s="425"/>
      <c r="AC114" s="425"/>
      <c r="AD114" s="425"/>
      <c r="AE114" s="425"/>
      <c r="AF114" s="407"/>
      <c r="AH114" s="405"/>
      <c r="AI114" s="404"/>
      <c r="AJ114" s="404"/>
      <c r="AK114" s="404"/>
      <c r="AL114" s="404"/>
      <c r="AM114" s="420"/>
      <c r="AN114" s="430"/>
      <c r="AO114" s="469"/>
      <c r="AP114" s="425"/>
      <c r="AQ114" s="425"/>
      <c r="AR114" s="425"/>
      <c r="AS114" s="425"/>
      <c r="AT114" s="425"/>
      <c r="AU114" s="425"/>
      <c r="AV114" s="425"/>
      <c r="AW114" s="425"/>
      <c r="AX114" s="425"/>
      <c r="AY114" s="425"/>
      <c r="AZ114" s="425"/>
      <c r="BA114" s="425"/>
      <c r="BB114" s="425"/>
      <c r="BC114" s="425"/>
      <c r="BD114" s="425"/>
      <c r="BE114" s="425"/>
      <c r="BF114" s="425"/>
      <c r="BG114" s="468"/>
    </row>
    <row r="115" spans="1:61" x14ac:dyDescent="0.25">
      <c r="A115"/>
      <c r="B115" s="462"/>
      <c r="C115" s="463" t="s">
        <v>715</v>
      </c>
      <c r="D115" s="443"/>
      <c r="E115" s="424"/>
      <c r="F115" s="443"/>
      <c r="G115" s="462"/>
      <c r="H115" s="443"/>
      <c r="I115" s="443"/>
      <c r="J115" s="443"/>
      <c r="K115" s="443"/>
      <c r="L115" s="463"/>
      <c r="M115" s="443"/>
      <c r="N115" s="462"/>
      <c r="O115" s="443"/>
      <c r="P115" s="443"/>
      <c r="Q115" s="443"/>
      <c r="R115" s="443"/>
      <c r="S115" s="443"/>
      <c r="T115" s="463"/>
      <c r="U115" s="443"/>
      <c r="V115" s="462"/>
      <c r="W115" s="443"/>
      <c r="X115" s="443"/>
      <c r="Y115" s="443"/>
      <c r="Z115" s="443"/>
      <c r="AA115" s="443"/>
      <c r="AB115" s="443"/>
      <c r="AC115" s="443"/>
      <c r="AD115" s="443"/>
      <c r="AE115" s="443"/>
      <c r="AF115" s="434"/>
      <c r="AG115" s="443"/>
      <c r="AH115" s="423"/>
      <c r="AI115" s="443"/>
      <c r="AJ115" s="443"/>
      <c r="AK115" s="443"/>
      <c r="AL115" s="443"/>
      <c r="AM115" s="463"/>
      <c r="AN115" s="443"/>
      <c r="AO115" s="462"/>
      <c r="AP115" s="443"/>
      <c r="AQ115" s="443"/>
      <c r="AR115" s="443"/>
      <c r="AS115" s="443"/>
      <c r="AT115" s="443"/>
      <c r="AU115" s="443"/>
      <c r="AV115" s="443"/>
      <c r="AW115" s="443"/>
      <c r="AX115" s="443"/>
      <c r="AY115" s="443"/>
      <c r="AZ115" s="443"/>
      <c r="BA115" s="443"/>
      <c r="BB115" s="443"/>
      <c r="BC115" s="443"/>
      <c r="BD115" s="443"/>
      <c r="BE115" s="443"/>
      <c r="BF115" s="443"/>
      <c r="BG115" s="463"/>
      <c r="BH115" s="443"/>
      <c r="BI115" s="443"/>
    </row>
    <row r="116" spans="1:61" x14ac:dyDescent="0.25">
      <c r="A116"/>
      <c r="B116" s="462"/>
      <c r="C116" s="463" t="s">
        <v>716</v>
      </c>
      <c r="D116" s="443"/>
      <c r="E116" s="424"/>
      <c r="F116" s="443"/>
      <c r="G116" s="462"/>
      <c r="H116" s="443"/>
      <c r="I116" s="443"/>
      <c r="J116" s="443"/>
      <c r="K116" s="443"/>
      <c r="L116" s="463"/>
      <c r="M116" s="443"/>
      <c r="N116" s="462"/>
      <c r="O116" s="443"/>
      <c r="P116" s="443"/>
      <c r="Q116" s="443"/>
      <c r="R116" s="443"/>
      <c r="S116" s="443"/>
      <c r="T116" s="463"/>
      <c r="U116" s="443"/>
      <c r="V116" s="462"/>
      <c r="W116" s="443"/>
      <c r="X116" s="443"/>
      <c r="Y116" s="443"/>
      <c r="Z116" s="443"/>
      <c r="AA116" s="443"/>
      <c r="AB116" s="443"/>
      <c r="AC116" s="443"/>
      <c r="AD116" s="443"/>
      <c r="AE116" s="443"/>
      <c r="AF116" s="434"/>
      <c r="AG116" s="443"/>
      <c r="AH116" s="423"/>
      <c r="AI116" s="443"/>
      <c r="AJ116" s="443"/>
      <c r="AK116" s="443"/>
      <c r="AL116" s="443"/>
      <c r="AM116" s="463"/>
      <c r="AN116" s="443"/>
      <c r="AO116" s="462"/>
      <c r="AP116" s="443"/>
      <c r="AQ116" s="443"/>
      <c r="AR116" s="443"/>
      <c r="AS116" s="443"/>
      <c r="AT116" s="443"/>
      <c r="AU116" s="443"/>
      <c r="AV116" s="443"/>
      <c r="AW116" s="443"/>
      <c r="AX116" s="443"/>
      <c r="AY116" s="443"/>
      <c r="AZ116" s="443"/>
      <c r="BA116" s="443"/>
      <c r="BB116" s="443"/>
      <c r="BC116" s="443"/>
      <c r="BD116" s="443"/>
      <c r="BE116" s="443"/>
      <c r="BF116" s="443"/>
      <c r="BG116" s="463"/>
      <c r="BH116" s="443"/>
      <c r="BI116" s="443"/>
    </row>
    <row r="117" spans="1:61" x14ac:dyDescent="0.25">
      <c r="A117"/>
      <c r="B117" s="464"/>
      <c r="C117" s="465" t="s">
        <v>717</v>
      </c>
      <c r="D117" s="443"/>
      <c r="E117" s="410"/>
      <c r="F117" s="443"/>
      <c r="G117" s="464"/>
      <c r="H117" s="437"/>
      <c r="I117" s="437"/>
      <c r="J117" s="437"/>
      <c r="K117" s="437"/>
      <c r="L117" s="465"/>
      <c r="M117" s="443"/>
      <c r="N117" s="464"/>
      <c r="O117" s="437"/>
      <c r="P117" s="437"/>
      <c r="Q117" s="437"/>
      <c r="R117" s="437"/>
      <c r="S117" s="437"/>
      <c r="T117" s="465"/>
      <c r="U117" s="443"/>
      <c r="V117" s="464"/>
      <c r="W117" s="437"/>
      <c r="X117" s="437"/>
      <c r="Y117" s="437"/>
      <c r="Z117" s="437"/>
      <c r="AA117" s="437"/>
      <c r="AB117" s="437"/>
      <c r="AC117" s="437"/>
      <c r="AD117" s="437"/>
      <c r="AE117" s="437"/>
      <c r="AF117" s="440"/>
      <c r="AG117" s="443"/>
      <c r="AH117" s="433"/>
      <c r="AI117" s="428"/>
      <c r="AJ117" s="428"/>
      <c r="AK117" s="428"/>
      <c r="AL117" s="428"/>
      <c r="AM117" s="422"/>
      <c r="AN117" s="430"/>
      <c r="AO117" s="464"/>
      <c r="AP117" s="437"/>
      <c r="AQ117" s="437"/>
      <c r="AR117" s="437"/>
      <c r="AS117" s="437"/>
      <c r="AT117" s="437"/>
      <c r="AU117" s="437"/>
      <c r="AV117" s="437"/>
      <c r="AW117" s="437"/>
      <c r="AX117" s="437"/>
      <c r="AY117" s="437"/>
      <c r="AZ117" s="437"/>
      <c r="BA117" s="437"/>
      <c r="BB117" s="437"/>
      <c r="BC117" s="437"/>
      <c r="BD117" s="437"/>
      <c r="BE117" s="437"/>
      <c r="BF117" s="437"/>
      <c r="BG117" s="465"/>
      <c r="BH117" s="443"/>
      <c r="BI117" s="443"/>
    </row>
    <row r="118" spans="1:61" s="443" customFormat="1" x14ac:dyDescent="0.25">
      <c r="A118" s="134"/>
      <c r="B118" s="462" t="s">
        <v>742</v>
      </c>
      <c r="C118" s="468" t="s">
        <v>714</v>
      </c>
      <c r="E118" s="408"/>
      <c r="G118" s="469"/>
      <c r="H118" s="425"/>
      <c r="I118" s="425"/>
      <c r="J118" s="425"/>
      <c r="K118" s="425"/>
      <c r="L118" s="468"/>
      <c r="N118" s="469"/>
      <c r="O118" s="425"/>
      <c r="P118" s="425"/>
      <c r="Q118" s="425"/>
      <c r="R118" s="425"/>
      <c r="S118" s="425"/>
      <c r="T118" s="468"/>
      <c r="V118" s="469"/>
      <c r="W118" s="425"/>
      <c r="X118" s="425"/>
      <c r="Y118" s="425"/>
      <c r="Z118" s="425"/>
      <c r="AA118" s="425"/>
      <c r="AB118" s="425"/>
      <c r="AC118" s="425"/>
      <c r="AD118" s="425"/>
      <c r="AE118" s="425"/>
      <c r="AF118" s="407"/>
      <c r="AH118" s="405"/>
      <c r="AI118" s="404"/>
      <c r="AJ118" s="404"/>
      <c r="AK118" s="404"/>
      <c r="AL118" s="404"/>
      <c r="AM118" s="420"/>
      <c r="AN118" s="430"/>
      <c r="AO118" s="469"/>
      <c r="AP118" s="425"/>
      <c r="AQ118" s="425"/>
      <c r="AR118" s="425"/>
      <c r="AS118" s="425"/>
      <c r="AT118" s="425"/>
      <c r="AU118" s="425"/>
      <c r="AV118" s="425"/>
      <c r="AW118" s="425"/>
      <c r="AX118" s="425"/>
      <c r="AY118" s="425"/>
      <c r="AZ118" s="425"/>
      <c r="BA118" s="425"/>
      <c r="BB118" s="425"/>
      <c r="BC118" s="425"/>
      <c r="BD118" s="425"/>
      <c r="BE118" s="425"/>
      <c r="BF118" s="425"/>
      <c r="BG118" s="468"/>
    </row>
    <row r="119" spans="1:61" x14ac:dyDescent="0.25">
      <c r="A119"/>
      <c r="B119" s="462"/>
      <c r="C119" s="463" t="s">
        <v>715</v>
      </c>
      <c r="D119" s="443"/>
      <c r="E119" s="424"/>
      <c r="F119" s="443"/>
      <c r="G119" s="462"/>
      <c r="H119" s="443"/>
      <c r="I119" s="443"/>
      <c r="J119" s="443"/>
      <c r="K119" s="443"/>
      <c r="L119" s="463"/>
      <c r="M119" s="443"/>
      <c r="N119" s="462"/>
      <c r="O119" s="443"/>
      <c r="P119" s="443"/>
      <c r="Q119" s="443"/>
      <c r="R119" s="443"/>
      <c r="S119" s="443"/>
      <c r="T119" s="463"/>
      <c r="U119" s="443"/>
      <c r="V119" s="462"/>
      <c r="W119" s="443"/>
      <c r="X119" s="443"/>
      <c r="Y119" s="443"/>
      <c r="Z119" s="443"/>
      <c r="AA119" s="443"/>
      <c r="AB119" s="443"/>
      <c r="AC119" s="443"/>
      <c r="AD119" s="443"/>
      <c r="AE119" s="443"/>
      <c r="AF119" s="434"/>
      <c r="AG119" s="443"/>
      <c r="AH119" s="423"/>
      <c r="AI119" s="443"/>
      <c r="AJ119" s="443"/>
      <c r="AK119" s="443"/>
      <c r="AL119" s="443"/>
      <c r="AM119" s="463"/>
      <c r="AN119" s="443"/>
      <c r="AO119" s="462"/>
      <c r="AP119" s="443"/>
      <c r="AQ119" s="443"/>
      <c r="AR119" s="443"/>
      <c r="AS119" s="443"/>
      <c r="AT119" s="443"/>
      <c r="AU119" s="443"/>
      <c r="AV119" s="443"/>
      <c r="AW119" s="443"/>
      <c r="AX119" s="443"/>
      <c r="AY119" s="443"/>
      <c r="AZ119" s="443"/>
      <c r="BA119" s="443"/>
      <c r="BB119" s="443"/>
      <c r="BC119" s="443"/>
      <c r="BD119" s="443"/>
      <c r="BE119" s="443"/>
      <c r="BF119" s="443"/>
      <c r="BG119" s="463"/>
      <c r="BH119" s="443"/>
      <c r="BI119" s="443"/>
    </row>
    <row r="120" spans="1:61" x14ac:dyDescent="0.25">
      <c r="A120"/>
      <c r="B120" s="462"/>
      <c r="C120" s="463" t="s">
        <v>716</v>
      </c>
      <c r="D120" s="443"/>
      <c r="E120" s="424"/>
      <c r="F120" s="443"/>
      <c r="G120" s="462"/>
      <c r="H120" s="443"/>
      <c r="I120" s="443"/>
      <c r="J120" s="443"/>
      <c r="K120" s="443"/>
      <c r="L120" s="463"/>
      <c r="M120" s="443"/>
      <c r="N120" s="462"/>
      <c r="O120" s="443"/>
      <c r="P120" s="443"/>
      <c r="Q120" s="443"/>
      <c r="R120" s="443"/>
      <c r="S120" s="443"/>
      <c r="T120" s="463"/>
      <c r="U120" s="443"/>
      <c r="V120" s="462"/>
      <c r="W120" s="443"/>
      <c r="X120" s="443"/>
      <c r="Y120" s="443"/>
      <c r="Z120" s="443"/>
      <c r="AA120" s="443"/>
      <c r="AB120" s="443"/>
      <c r="AC120" s="443"/>
      <c r="AD120" s="443"/>
      <c r="AE120" s="443"/>
      <c r="AF120" s="434"/>
      <c r="AG120" s="443"/>
      <c r="AH120" s="423"/>
      <c r="AI120" s="443"/>
      <c r="AJ120" s="443"/>
      <c r="AK120" s="443"/>
      <c r="AL120" s="443"/>
      <c r="AM120" s="463"/>
      <c r="AN120" s="443"/>
      <c r="AO120" s="462"/>
      <c r="AP120" s="443"/>
      <c r="AQ120" s="443"/>
      <c r="AR120" s="443"/>
      <c r="AS120" s="443"/>
      <c r="AT120" s="443"/>
      <c r="AU120" s="443"/>
      <c r="AV120" s="443"/>
      <c r="AW120" s="443"/>
      <c r="AX120" s="443"/>
      <c r="AY120" s="443"/>
      <c r="AZ120" s="443"/>
      <c r="BA120" s="443"/>
      <c r="BB120" s="443"/>
      <c r="BC120" s="443"/>
      <c r="BD120" s="443"/>
      <c r="BE120" s="443"/>
      <c r="BF120" s="443"/>
      <c r="BG120" s="463"/>
      <c r="BH120" s="443"/>
      <c r="BI120" s="443"/>
    </row>
    <row r="121" spans="1:61" x14ac:dyDescent="0.25">
      <c r="A121"/>
      <c r="B121" s="464"/>
      <c r="C121" s="465" t="s">
        <v>717</v>
      </c>
      <c r="D121" s="443"/>
      <c r="E121" s="410"/>
      <c r="F121" s="443"/>
      <c r="G121" s="464"/>
      <c r="H121" s="437"/>
      <c r="I121" s="437"/>
      <c r="J121" s="437"/>
      <c r="K121" s="437"/>
      <c r="L121" s="465"/>
      <c r="M121" s="443"/>
      <c r="N121" s="464"/>
      <c r="O121" s="437"/>
      <c r="P121" s="437"/>
      <c r="Q121" s="437"/>
      <c r="R121" s="437"/>
      <c r="S121" s="437"/>
      <c r="T121" s="465"/>
      <c r="U121" s="443"/>
      <c r="V121" s="464"/>
      <c r="W121" s="437"/>
      <c r="X121" s="437"/>
      <c r="Y121" s="437"/>
      <c r="Z121" s="437"/>
      <c r="AA121" s="437"/>
      <c r="AB121" s="437"/>
      <c r="AC121" s="437"/>
      <c r="AD121" s="437"/>
      <c r="AE121" s="437"/>
      <c r="AF121" s="440"/>
      <c r="AG121" s="443"/>
      <c r="AH121" s="433"/>
      <c r="AI121" s="428"/>
      <c r="AJ121" s="428"/>
      <c r="AK121" s="428"/>
      <c r="AL121" s="428"/>
      <c r="AM121" s="422"/>
      <c r="AN121" s="430"/>
      <c r="AO121" s="464"/>
      <c r="AP121" s="437"/>
      <c r="AQ121" s="437"/>
      <c r="AR121" s="437"/>
      <c r="AS121" s="437"/>
      <c r="AT121" s="437"/>
      <c r="AU121" s="437"/>
      <c r="AV121" s="437"/>
      <c r="AW121" s="437"/>
      <c r="AX121" s="437"/>
      <c r="AY121" s="437"/>
      <c r="AZ121" s="437"/>
      <c r="BA121" s="437"/>
      <c r="BB121" s="437"/>
      <c r="BC121" s="437"/>
      <c r="BD121" s="437"/>
      <c r="BE121" s="437"/>
      <c r="BF121" s="437"/>
      <c r="BG121" s="465"/>
      <c r="BH121" s="443"/>
      <c r="BI121" s="443"/>
    </row>
    <row r="122" spans="1:61" ht="14.4" thickBot="1" x14ac:dyDescent="0.3">
      <c r="B122" s="493"/>
      <c r="C122" s="493"/>
      <c r="D122" s="488"/>
      <c r="E122" s="488"/>
      <c r="F122" s="488"/>
      <c r="G122" s="488"/>
      <c r="H122" s="488"/>
      <c r="I122" s="488"/>
      <c r="J122" s="488"/>
      <c r="K122" s="488"/>
      <c r="L122" s="488"/>
      <c r="M122" s="461"/>
      <c r="N122" s="461"/>
      <c r="O122" s="461"/>
      <c r="P122" s="461"/>
      <c r="Q122" s="461"/>
      <c r="R122" s="461"/>
      <c r="S122" s="461"/>
      <c r="T122" s="461"/>
      <c r="U122" s="461"/>
      <c r="V122" s="461"/>
      <c r="W122" s="461"/>
      <c r="X122" s="461"/>
      <c r="Y122" s="461"/>
      <c r="Z122" s="461"/>
      <c r="AA122" s="461"/>
      <c r="AB122" s="461"/>
      <c r="AC122" s="461"/>
      <c r="AD122" s="461"/>
      <c r="AE122" s="461"/>
      <c r="AF122" s="461"/>
      <c r="AG122" s="461"/>
      <c r="AH122" s="461"/>
      <c r="AI122" s="461"/>
      <c r="AJ122" s="461"/>
      <c r="AK122" s="461"/>
      <c r="AL122" s="461"/>
      <c r="AM122" s="461"/>
      <c r="AN122" s="461"/>
      <c r="AO122" s="461"/>
      <c r="AP122" s="461"/>
      <c r="AQ122" s="461"/>
      <c r="AR122" s="461"/>
      <c r="AS122" s="461"/>
      <c r="AT122" s="461"/>
      <c r="AU122" s="461"/>
      <c r="AV122" s="461"/>
      <c r="AW122" s="461"/>
      <c r="AX122" s="461"/>
      <c r="AY122" s="461"/>
      <c r="AZ122" s="461"/>
      <c r="BA122" s="461"/>
      <c r="BB122" s="461"/>
      <c r="BC122" s="461"/>
      <c r="BD122" s="461"/>
      <c r="BE122" s="461"/>
      <c r="BF122" s="461"/>
      <c r="BG122" s="461"/>
      <c r="BH122" s="443"/>
      <c r="BI122" s="443"/>
    </row>
    <row r="123" spans="1:61" x14ac:dyDescent="0.25">
      <c r="B123" s="494"/>
      <c r="C123" s="494"/>
      <c r="D123" s="495"/>
      <c r="E123" s="495"/>
      <c r="F123" s="495"/>
      <c r="G123" s="495"/>
      <c r="H123" s="495"/>
      <c r="I123" s="495"/>
      <c r="J123" s="495"/>
      <c r="K123" s="495"/>
      <c r="L123" s="495"/>
      <c r="M123" s="443"/>
      <c r="N123" s="443"/>
      <c r="O123" s="443"/>
      <c r="P123" s="443"/>
      <c r="Q123" s="443"/>
      <c r="R123" s="443"/>
      <c r="S123" s="443"/>
      <c r="T123" s="443"/>
      <c r="U123" s="443"/>
      <c r="V123" s="443"/>
      <c r="W123" s="443"/>
      <c r="X123" s="443"/>
      <c r="Y123" s="443"/>
      <c r="Z123" s="443"/>
      <c r="AA123" s="443"/>
      <c r="AB123" s="443"/>
      <c r="AC123" s="443"/>
      <c r="AD123" s="443"/>
      <c r="AE123" s="443"/>
      <c r="AF123" s="443"/>
      <c r="AG123" s="443"/>
      <c r="AH123" s="443"/>
      <c r="AI123" s="443"/>
      <c r="AJ123" s="443"/>
      <c r="AK123" s="443"/>
      <c r="AL123" s="443"/>
      <c r="AM123" s="443"/>
      <c r="AN123" s="443"/>
      <c r="AO123" s="443"/>
      <c r="AP123" s="443"/>
      <c r="AQ123" s="443"/>
      <c r="AR123" s="443"/>
      <c r="AS123" s="443"/>
      <c r="AT123" s="443"/>
      <c r="AU123" s="443"/>
      <c r="AV123" s="443"/>
      <c r="AW123" s="443"/>
      <c r="AX123" s="443"/>
      <c r="AY123" s="443"/>
      <c r="AZ123" s="443"/>
      <c r="BA123" s="443"/>
      <c r="BB123" s="443"/>
      <c r="BC123" s="443"/>
      <c r="BD123" s="443"/>
      <c r="BE123" s="443"/>
      <c r="BF123" s="443"/>
      <c r="BG123" s="443"/>
      <c r="BH123" s="443"/>
      <c r="BI123" s="443"/>
    </row>
    <row r="124" spans="1:61" x14ac:dyDescent="0.25">
      <c r="B124" s="719" t="s">
        <v>152</v>
      </c>
      <c r="C124" s="720"/>
      <c r="D124" s="720"/>
      <c r="E124" s="720"/>
      <c r="F124" s="720"/>
      <c r="G124" s="495"/>
      <c r="H124" s="495"/>
      <c r="I124" s="495"/>
      <c r="J124" s="495"/>
      <c r="K124" s="495"/>
      <c r="L124" s="495"/>
      <c r="M124" s="443"/>
      <c r="N124" s="443"/>
      <c r="O124" s="443"/>
      <c r="P124" s="443"/>
      <c r="Q124" s="443"/>
      <c r="R124" s="443"/>
      <c r="S124" s="443"/>
      <c r="T124" s="443"/>
      <c r="U124" s="443"/>
      <c r="V124" s="443"/>
      <c r="W124" s="443"/>
      <c r="X124" s="443"/>
      <c r="Y124" s="443"/>
      <c r="Z124" s="443"/>
      <c r="AA124" s="443"/>
      <c r="AB124" s="443"/>
      <c r="AC124" s="443"/>
      <c r="AD124" s="443"/>
      <c r="AE124" s="443"/>
      <c r="AF124" s="443"/>
      <c r="AG124" s="443"/>
      <c r="AH124" s="443"/>
      <c r="AI124" s="443"/>
      <c r="AJ124" s="443"/>
      <c r="AK124" s="443"/>
      <c r="AL124" s="443"/>
      <c r="AM124" s="443"/>
      <c r="AN124" s="443"/>
      <c r="AO124" s="443"/>
      <c r="AP124" s="443"/>
      <c r="AQ124" s="443"/>
      <c r="AR124" s="443"/>
      <c r="AS124" s="443"/>
      <c r="AT124" s="443"/>
      <c r="AU124" s="443"/>
      <c r="AV124" s="443"/>
      <c r="AW124" s="443"/>
      <c r="AX124" s="443"/>
      <c r="AY124" s="443"/>
      <c r="AZ124" s="443"/>
      <c r="BA124" s="443"/>
      <c r="BB124" s="443"/>
      <c r="BC124" s="443"/>
      <c r="BD124" s="443"/>
      <c r="BE124" s="443"/>
      <c r="BF124" s="443"/>
      <c r="BG124" s="443"/>
      <c r="BH124" s="443"/>
      <c r="BI124" s="443"/>
    </row>
    <row r="125" spans="1:61" x14ac:dyDescent="0.25">
      <c r="B125" s="489"/>
      <c r="C125" s="490"/>
      <c r="D125" s="491"/>
      <c r="E125" s="491"/>
      <c r="F125" s="491"/>
      <c r="G125" s="491"/>
      <c r="H125" s="491"/>
      <c r="I125" s="491"/>
      <c r="J125" s="491"/>
      <c r="K125" s="491"/>
      <c r="L125" s="491"/>
    </row>
    <row r="126" spans="1:61" x14ac:dyDescent="0.25">
      <c r="B126" s="673" t="s">
        <v>743</v>
      </c>
      <c r="C126" s="673"/>
      <c r="D126" s="673"/>
      <c r="E126" s="673"/>
      <c r="F126" s="673"/>
      <c r="G126" s="673"/>
      <c r="H126" s="673"/>
      <c r="I126" s="673"/>
      <c r="J126" s="673"/>
      <c r="K126" s="673"/>
      <c r="L126" s="673"/>
      <c r="M126" s="673"/>
      <c r="N126" s="673"/>
      <c r="O126" s="673"/>
      <c r="P126" s="673"/>
      <c r="Q126" s="673"/>
      <c r="R126" s="673"/>
      <c r="S126" s="673"/>
      <c r="T126" s="673"/>
      <c r="U126" s="673"/>
      <c r="V126" s="673"/>
    </row>
    <row r="127" spans="1:61" x14ac:dyDescent="0.25">
      <c r="B127" s="492"/>
      <c r="C127" s="492"/>
      <c r="D127" s="491"/>
      <c r="E127" s="491"/>
      <c r="F127" s="491"/>
      <c r="G127" s="491"/>
      <c r="H127" s="491"/>
      <c r="I127" s="491"/>
      <c r="J127" s="491"/>
      <c r="K127" s="491"/>
      <c r="L127" s="491"/>
    </row>
    <row r="128" spans="1:61" ht="26.55" customHeight="1" x14ac:dyDescent="0.25">
      <c r="B128" s="674" t="s">
        <v>93</v>
      </c>
      <c r="C128" s="674"/>
      <c r="D128" s="674"/>
      <c r="E128" s="674"/>
      <c r="F128" s="674"/>
      <c r="G128" s="674"/>
      <c r="H128" s="674"/>
      <c r="I128" s="674"/>
      <c r="J128" s="674"/>
      <c r="K128" s="674"/>
      <c r="L128" s="674"/>
      <c r="M128" s="674"/>
      <c r="N128" s="674"/>
      <c r="O128" s="674"/>
    </row>
    <row r="129" spans="2:14" ht="25.5" customHeight="1" x14ac:dyDescent="0.25">
      <c r="B129" s="715" t="s">
        <v>94</v>
      </c>
      <c r="C129" s="715"/>
      <c r="D129" s="715"/>
      <c r="E129" s="715"/>
      <c r="F129" s="715"/>
      <c r="G129" s="715"/>
      <c r="H129" s="715"/>
      <c r="I129" s="715"/>
      <c r="J129" s="715"/>
      <c r="K129" s="715"/>
      <c r="L129" s="715"/>
      <c r="M129" s="715"/>
      <c r="N129" s="715"/>
    </row>
  </sheetData>
  <mergeCells count="11">
    <mergeCell ref="AO10:BG10"/>
    <mergeCell ref="B129:N129"/>
    <mergeCell ref="B5:Q5"/>
    <mergeCell ref="AH10:AM10"/>
    <mergeCell ref="B124:F124"/>
    <mergeCell ref="B126:V126"/>
    <mergeCell ref="B128:O128"/>
    <mergeCell ref="G10:L10"/>
    <mergeCell ref="N10:T10"/>
    <mergeCell ref="V10:AF10"/>
    <mergeCell ref="AZ12:BB12"/>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34"/>
  <sheetViews>
    <sheetView showGridLines="0" topLeftCell="C1" zoomScaleNormal="100" workbookViewId="0">
      <selection activeCell="N13" sqref="N13:T13"/>
    </sheetView>
  </sheetViews>
  <sheetFormatPr defaultColWidth="7.796875" defaultRowHeight="13.8" x14ac:dyDescent="0.25"/>
  <cols>
    <col min="1" max="1" width="1.59765625" style="441" customWidth="1"/>
    <col min="2" max="2" width="120" style="441" customWidth="1"/>
    <col min="3" max="3" width="10.296875" style="441" customWidth="1"/>
    <col min="4" max="4" width="2.19921875" style="441" customWidth="1"/>
    <col min="5" max="5" width="8.59765625" style="441" customWidth="1"/>
    <col min="6" max="6" width="2.19921875" style="441" customWidth="1"/>
    <col min="7" max="8" width="9.59765625" style="441" bestFit="1" customWidth="1"/>
    <col min="9" max="10" width="9.59765625" style="441" customWidth="1"/>
    <col min="11" max="11" width="11.5" style="441" customWidth="1"/>
    <col min="12" max="12" width="9.59765625" style="441" bestFit="1" customWidth="1"/>
    <col min="13" max="13" width="2.19921875" style="441" customWidth="1"/>
    <col min="14" max="15" width="7.796875" style="441" bestFit="1" customWidth="1"/>
    <col min="16" max="17" width="9.59765625" style="441" bestFit="1" customWidth="1"/>
    <col min="18" max="18" width="8.59765625" style="441" bestFit="1" customWidth="1"/>
    <col min="19" max="20" width="9.59765625" style="441" bestFit="1" customWidth="1"/>
    <col min="21" max="21" width="2.19921875" style="441" customWidth="1"/>
    <col min="22" max="31" width="8.59765625" style="441" bestFit="1" customWidth="1"/>
    <col min="32" max="32" width="13.09765625" style="441" customWidth="1"/>
    <col min="33" max="33" width="2.19921875" style="441" customWidth="1"/>
    <col min="34" max="39" width="13.09765625" style="441" customWidth="1"/>
    <col min="40" max="40" width="2.19921875" style="441" customWidth="1"/>
    <col min="41" max="41" width="9.59765625" style="441" bestFit="1" customWidth="1"/>
    <col min="42" max="42" width="8.59765625" style="441" bestFit="1" customWidth="1"/>
    <col min="43" max="43" width="8.69921875" style="441" customWidth="1"/>
    <col min="44" max="45" width="8.59765625" style="441" bestFit="1" customWidth="1"/>
    <col min="46" max="46" width="7.796875" style="441" bestFit="1" customWidth="1"/>
    <col min="47" max="47" width="8.69921875" style="441" customWidth="1"/>
    <col min="48" max="49" width="8.59765625" style="441" bestFit="1" customWidth="1"/>
    <col min="50" max="50" width="8.796875" style="441" customWidth="1"/>
    <col min="51" max="51" width="8.59765625" style="441" customWidth="1"/>
    <col min="52" max="53" width="8.59765625" style="441" bestFit="1" customWidth="1"/>
    <col min="54" max="54" width="8.69921875" style="441" customWidth="1"/>
    <col min="55" max="59" width="8.59765625" style="441" bestFit="1" customWidth="1"/>
    <col min="60" max="16384" width="7.796875" style="441"/>
  </cols>
  <sheetData>
    <row r="1" spans="1:60" x14ac:dyDescent="0.25">
      <c r="B1" s="11" t="s">
        <v>701</v>
      </c>
    </row>
    <row r="3" spans="1:60" x14ac:dyDescent="0.25">
      <c r="B3" s="442" t="s">
        <v>816</v>
      </c>
    </row>
    <row r="4" spans="1:60" x14ac:dyDescent="0.25">
      <c r="B4" s="442"/>
    </row>
    <row r="5" spans="1:60" ht="94.05" customHeight="1" x14ac:dyDescent="0.25">
      <c r="B5" s="710" t="s">
        <v>860</v>
      </c>
      <c r="C5" s="710"/>
      <c r="D5" s="710"/>
      <c r="E5" s="710"/>
      <c r="F5" s="710"/>
      <c r="G5" s="710"/>
      <c r="H5" s="710"/>
      <c r="I5" s="710"/>
      <c r="J5" s="710"/>
      <c r="K5" s="710"/>
      <c r="L5" s="710"/>
      <c r="M5" s="710"/>
      <c r="N5" s="710"/>
      <c r="O5" s="710"/>
      <c r="P5" s="710"/>
      <c r="Q5" s="710"/>
    </row>
    <row r="6" spans="1:60" ht="14.4" x14ac:dyDescent="0.25">
      <c r="B6" s="444" t="s">
        <v>706</v>
      </c>
    </row>
    <row r="8" spans="1:60" ht="14.4" thickBot="1" x14ac:dyDescent="0.3">
      <c r="B8" s="445"/>
      <c r="C8" s="445"/>
      <c r="D8" s="445"/>
      <c r="E8" s="445"/>
      <c r="F8" s="445"/>
      <c r="G8" s="445"/>
      <c r="H8" s="445"/>
      <c r="I8" s="445"/>
      <c r="J8" s="445"/>
      <c r="K8" s="445"/>
      <c r="L8" s="445"/>
      <c r="M8" s="445"/>
      <c r="N8" s="445"/>
      <c r="O8" s="445"/>
      <c r="P8" s="445"/>
      <c r="Q8" s="445"/>
      <c r="R8" s="445"/>
      <c r="S8" s="445"/>
      <c r="T8" s="445"/>
      <c r="U8" s="445"/>
      <c r="V8" s="445"/>
      <c r="W8" s="445"/>
      <c r="X8" s="445"/>
      <c r="Y8" s="445"/>
      <c r="Z8" s="445"/>
      <c r="AA8" s="445"/>
      <c r="AB8" s="445"/>
      <c r="AC8" s="445"/>
      <c r="AD8" s="445"/>
      <c r="AE8" s="445"/>
      <c r="AF8" s="445"/>
      <c r="AG8" s="445"/>
      <c r="AH8" s="445"/>
      <c r="AI8" s="445"/>
      <c r="AJ8" s="445"/>
      <c r="AK8" s="445"/>
      <c r="AL8" s="445"/>
      <c r="AM8" s="445"/>
      <c r="AN8" s="445"/>
      <c r="AO8" s="445"/>
      <c r="AP8" s="445"/>
      <c r="AQ8" s="445"/>
      <c r="AR8" s="445"/>
      <c r="AS8" s="445"/>
      <c r="AT8" s="445"/>
      <c r="AU8" s="445"/>
      <c r="AV8" s="445"/>
      <c r="AW8" s="445"/>
      <c r="AX8" s="445"/>
      <c r="AY8" s="445"/>
      <c r="AZ8" s="445"/>
      <c r="BA8" s="445"/>
      <c r="BB8" s="445"/>
      <c r="BC8" s="445"/>
      <c r="BD8" s="445"/>
      <c r="BE8" s="445"/>
      <c r="BF8" s="445"/>
      <c r="BG8" s="445"/>
    </row>
    <row r="10" spans="1:60" ht="56.1" customHeight="1" x14ac:dyDescent="0.25">
      <c r="E10" s="446" t="s">
        <v>642</v>
      </c>
      <c r="G10" s="446" t="s">
        <v>707</v>
      </c>
      <c r="H10" s="446"/>
      <c r="I10" s="446"/>
      <c r="J10" s="446"/>
      <c r="K10" s="446"/>
      <c r="L10" s="446"/>
      <c r="N10" s="447" t="s">
        <v>708</v>
      </c>
      <c r="O10" s="448"/>
      <c r="P10" s="448"/>
      <c r="Q10" s="448"/>
      <c r="R10" s="448"/>
      <c r="S10" s="448"/>
      <c r="T10" s="449"/>
      <c r="V10" s="716" t="s">
        <v>709</v>
      </c>
      <c r="W10" s="717"/>
      <c r="X10" s="717"/>
      <c r="Y10" s="717"/>
      <c r="Z10" s="717"/>
      <c r="AA10" s="717"/>
      <c r="AB10" s="717"/>
      <c r="AC10" s="717"/>
      <c r="AD10" s="717"/>
      <c r="AE10" s="717"/>
      <c r="AF10" s="718"/>
      <c r="AG10" s="438"/>
      <c r="AH10" s="716" t="s">
        <v>710</v>
      </c>
      <c r="AI10" s="717"/>
      <c r="AJ10" s="717"/>
      <c r="AK10" s="717"/>
      <c r="AL10" s="717"/>
      <c r="AM10" s="718"/>
      <c r="AO10" s="447" t="s">
        <v>711</v>
      </c>
      <c r="AP10" s="448"/>
      <c r="AQ10" s="448"/>
      <c r="AR10" s="448"/>
      <c r="AS10" s="448"/>
      <c r="AT10" s="448"/>
      <c r="AU10" s="448"/>
      <c r="AV10" s="448"/>
      <c r="AW10" s="448"/>
      <c r="AX10" s="448"/>
      <c r="AY10" s="448"/>
      <c r="AZ10" s="448"/>
      <c r="BA10" s="448"/>
      <c r="BB10" s="448"/>
      <c r="BC10" s="448"/>
      <c r="BD10" s="448"/>
      <c r="BE10" s="448"/>
      <c r="BF10" s="450"/>
      <c r="BG10" s="451"/>
    </row>
    <row r="12" spans="1:60" x14ac:dyDescent="0.25">
      <c r="AO12" s="447" t="s">
        <v>117</v>
      </c>
      <c r="AP12" s="450"/>
      <c r="AQ12" s="451"/>
      <c r="AR12" s="447" t="s">
        <v>122</v>
      </c>
      <c r="AS12" s="450"/>
      <c r="AT12" s="450"/>
      <c r="AU12" s="451"/>
      <c r="AV12" s="447" t="s">
        <v>127</v>
      </c>
      <c r="AW12" s="450"/>
      <c r="AX12" s="450"/>
      <c r="AY12" s="451"/>
      <c r="AZ12" s="447" t="s">
        <v>132</v>
      </c>
      <c r="BA12" s="450"/>
      <c r="BB12" s="451"/>
      <c r="BC12" s="447" t="s">
        <v>149</v>
      </c>
      <c r="BD12" s="450"/>
      <c r="BE12" s="450"/>
      <c r="BF12" s="450"/>
      <c r="BG12" s="451"/>
    </row>
    <row r="13" spans="1:60" ht="38.549999999999997" customHeight="1" x14ac:dyDescent="0.25">
      <c r="G13" s="452" t="s">
        <v>109</v>
      </c>
      <c r="H13" s="452" t="s">
        <v>110</v>
      </c>
      <c r="I13" s="452" t="s">
        <v>984</v>
      </c>
      <c r="J13" s="452" t="s">
        <v>985</v>
      </c>
      <c r="K13" s="452" t="s">
        <v>986</v>
      </c>
      <c r="L13" s="452" t="s">
        <v>643</v>
      </c>
      <c r="N13" s="452" t="s">
        <v>101</v>
      </c>
      <c r="O13" s="452" t="s">
        <v>102</v>
      </c>
      <c r="P13" s="452" t="s">
        <v>104</v>
      </c>
      <c r="Q13" s="452" t="s">
        <v>105</v>
      </c>
      <c r="R13" s="452" t="s">
        <v>106</v>
      </c>
      <c r="S13" s="452" t="s">
        <v>107</v>
      </c>
      <c r="T13" s="452" t="s">
        <v>643</v>
      </c>
      <c r="V13" s="452" t="s">
        <v>160</v>
      </c>
      <c r="W13" s="452" t="s">
        <v>161</v>
      </c>
      <c r="X13" s="452" t="s">
        <v>162</v>
      </c>
      <c r="Y13" s="452" t="s">
        <v>163</v>
      </c>
      <c r="Z13" s="452" t="s">
        <v>164</v>
      </c>
      <c r="AA13" s="452" t="s">
        <v>165</v>
      </c>
      <c r="AB13" s="452" t="s">
        <v>166</v>
      </c>
      <c r="AC13" s="452" t="s">
        <v>167</v>
      </c>
      <c r="AD13" s="452" t="s">
        <v>168</v>
      </c>
      <c r="AE13" s="452" t="s">
        <v>169</v>
      </c>
      <c r="AF13" s="452" t="s">
        <v>170</v>
      </c>
      <c r="AG13" s="452"/>
      <c r="AH13" s="439" t="s">
        <v>117</v>
      </c>
      <c r="AI13" s="439" t="s">
        <v>122</v>
      </c>
      <c r="AJ13" s="429" t="s">
        <v>127</v>
      </c>
      <c r="AK13" s="429" t="s">
        <v>132</v>
      </c>
      <c r="AL13" s="429" t="s">
        <v>136</v>
      </c>
      <c r="AM13" s="429" t="s">
        <v>643</v>
      </c>
      <c r="AO13" s="435" t="s">
        <v>118</v>
      </c>
      <c r="AP13" s="435" t="s">
        <v>119</v>
      </c>
      <c r="AQ13" s="435" t="s">
        <v>120</v>
      </c>
      <c r="AR13" s="435" t="s">
        <v>123</v>
      </c>
      <c r="AS13" s="435" t="s">
        <v>124</v>
      </c>
      <c r="AT13" s="435" t="s">
        <v>125</v>
      </c>
      <c r="AU13" s="435" t="s">
        <v>126</v>
      </c>
      <c r="AV13" s="435" t="s">
        <v>128</v>
      </c>
      <c r="AW13" s="435" t="s">
        <v>129</v>
      </c>
      <c r="AX13" s="435" t="s">
        <v>130</v>
      </c>
      <c r="AY13" s="435" t="s">
        <v>712</v>
      </c>
      <c r="AZ13" s="435" t="s">
        <v>134</v>
      </c>
      <c r="BA13" s="435" t="s">
        <v>133</v>
      </c>
      <c r="BB13" s="435" t="s">
        <v>135</v>
      </c>
      <c r="BC13" s="435" t="s">
        <v>137</v>
      </c>
      <c r="BD13" s="435" t="s">
        <v>634</v>
      </c>
      <c r="BE13" s="435" t="s">
        <v>635</v>
      </c>
      <c r="BF13" s="435" t="s">
        <v>626</v>
      </c>
      <c r="BG13" s="435" t="s">
        <v>643</v>
      </c>
    </row>
    <row r="15" spans="1:60" x14ac:dyDescent="0.25">
      <c r="A15" s="419" t="s">
        <v>642</v>
      </c>
      <c r="B15" s="453" t="s">
        <v>713</v>
      </c>
      <c r="C15" s="454" t="s">
        <v>714</v>
      </c>
      <c r="E15" s="408" t="s">
        <v>765</v>
      </c>
      <c r="F15" s="443"/>
      <c r="G15" s="470" t="s">
        <v>770</v>
      </c>
      <c r="H15" s="416"/>
      <c r="I15" s="416"/>
      <c r="J15" s="416"/>
      <c r="K15" s="416"/>
      <c r="L15" s="407"/>
      <c r="M15" s="443"/>
      <c r="N15" s="470" t="s">
        <v>990</v>
      </c>
      <c r="O15" s="416"/>
      <c r="P15" s="416"/>
      <c r="Q15" s="416"/>
      <c r="R15" s="416"/>
      <c r="S15" s="416"/>
      <c r="T15" s="407"/>
      <c r="U15" s="443"/>
      <c r="V15" s="470" t="s">
        <v>789</v>
      </c>
      <c r="W15" s="416"/>
      <c r="X15" s="416"/>
      <c r="Y15" s="416"/>
      <c r="Z15" s="416"/>
      <c r="AA15" s="416"/>
      <c r="AB15" s="416"/>
      <c r="AC15" s="416"/>
      <c r="AD15" s="416"/>
      <c r="AE15" s="416"/>
      <c r="AF15" s="407"/>
      <c r="AG15" s="134"/>
      <c r="AH15" s="478" t="s">
        <v>791</v>
      </c>
      <c r="AI15" s="479"/>
      <c r="AJ15" s="479"/>
      <c r="AK15" s="479"/>
      <c r="AL15" s="479"/>
      <c r="AM15" s="480"/>
      <c r="AN15" s="443"/>
      <c r="AO15" s="469" t="s">
        <v>793</v>
      </c>
      <c r="AP15" s="425"/>
      <c r="AQ15" s="425"/>
      <c r="AR15" s="425"/>
      <c r="AS15" s="425"/>
      <c r="AT15" s="425"/>
      <c r="AU15" s="425"/>
      <c r="AV15" s="425"/>
      <c r="AW15" s="425"/>
      <c r="AX15" s="425"/>
      <c r="AY15" s="425"/>
      <c r="AZ15" s="425"/>
      <c r="BA15" s="425"/>
      <c r="BB15" s="425"/>
      <c r="BC15" s="425"/>
      <c r="BD15" s="425"/>
      <c r="BE15" s="425"/>
      <c r="BF15" s="425"/>
      <c r="BG15" s="468"/>
    </row>
    <row r="16" spans="1:60" x14ac:dyDescent="0.25">
      <c r="B16" s="455"/>
      <c r="C16" s="456" t="s">
        <v>715</v>
      </c>
      <c r="E16" s="424"/>
      <c r="F16" s="443"/>
      <c r="G16" s="462"/>
      <c r="H16" s="443"/>
      <c r="I16" s="443"/>
      <c r="J16" s="443"/>
      <c r="K16" s="443"/>
      <c r="L16" s="463"/>
      <c r="M16" s="443"/>
      <c r="N16" s="431"/>
      <c r="O16" s="134"/>
      <c r="P16" s="134"/>
      <c r="Q16" s="134"/>
      <c r="R16" s="134"/>
      <c r="S16" s="134"/>
      <c r="T16" s="434"/>
      <c r="U16" s="443"/>
      <c r="V16" s="431"/>
      <c r="W16" s="134"/>
      <c r="X16" s="134"/>
      <c r="Y16" s="134"/>
      <c r="Z16" s="134"/>
      <c r="AA16" s="134"/>
      <c r="AB16" s="134"/>
      <c r="AC16" s="134"/>
      <c r="AD16" s="134"/>
      <c r="AE16" s="134"/>
      <c r="AF16" s="434"/>
      <c r="AG16" s="134"/>
      <c r="AH16" s="481"/>
      <c r="AI16" s="482"/>
      <c r="AJ16" s="482"/>
      <c r="AK16" s="482"/>
      <c r="AL16" s="482"/>
      <c r="AM16" s="483"/>
      <c r="AN16" s="443"/>
      <c r="AO16" s="462"/>
      <c r="AP16" s="443"/>
      <c r="AQ16" s="443"/>
      <c r="AR16" s="443"/>
      <c r="AS16" s="443"/>
      <c r="AT16" s="443"/>
      <c r="AU16" s="443"/>
      <c r="AV16" s="443"/>
      <c r="AW16" s="443"/>
      <c r="AX16" s="443"/>
      <c r="AY16" s="443"/>
      <c r="AZ16" s="443"/>
      <c r="BA16" s="443"/>
      <c r="BB16" s="443"/>
      <c r="BC16" s="443"/>
      <c r="BD16" s="443"/>
      <c r="BE16" s="443"/>
      <c r="BF16" s="443"/>
      <c r="BG16" s="463"/>
      <c r="BH16" s="443"/>
    </row>
    <row r="17" spans="1:60" x14ac:dyDescent="0.25">
      <c r="B17" s="455"/>
      <c r="C17" s="456" t="s">
        <v>716</v>
      </c>
      <c r="E17" s="424"/>
      <c r="F17" s="443"/>
      <c r="G17" s="462"/>
      <c r="H17" s="443"/>
      <c r="I17" s="443"/>
      <c r="J17" s="443"/>
      <c r="K17" s="443"/>
      <c r="L17" s="463"/>
      <c r="M17" s="443"/>
      <c r="N17" s="431"/>
      <c r="O17" s="134"/>
      <c r="P17" s="134"/>
      <c r="Q17" s="134"/>
      <c r="R17" s="134"/>
      <c r="S17" s="134"/>
      <c r="T17" s="434"/>
      <c r="U17" s="443"/>
      <c r="V17" s="431"/>
      <c r="W17" s="134"/>
      <c r="X17" s="134"/>
      <c r="Y17" s="134"/>
      <c r="Z17" s="134"/>
      <c r="AA17" s="134"/>
      <c r="AB17" s="134"/>
      <c r="AC17" s="134"/>
      <c r="AD17" s="134"/>
      <c r="AE17" s="134"/>
      <c r="AF17" s="434"/>
      <c r="AG17" s="134"/>
      <c r="AH17" s="481"/>
      <c r="AI17" s="482"/>
      <c r="AJ17" s="482"/>
      <c r="AK17" s="482"/>
      <c r="AL17" s="482"/>
      <c r="AM17" s="483"/>
      <c r="AN17" s="443"/>
      <c r="AO17" s="462"/>
      <c r="AP17" s="443"/>
      <c r="AQ17" s="443"/>
      <c r="AR17" s="443"/>
      <c r="AS17" s="443"/>
      <c r="AT17" s="443"/>
      <c r="AU17" s="443"/>
      <c r="AV17" s="443"/>
      <c r="AW17" s="443"/>
      <c r="AX17" s="443"/>
      <c r="AY17" s="443"/>
      <c r="AZ17" s="443"/>
      <c r="BA17" s="443"/>
      <c r="BB17" s="443"/>
      <c r="BC17" s="443"/>
      <c r="BD17" s="443"/>
      <c r="BE17" s="443"/>
      <c r="BF17" s="443"/>
      <c r="BG17" s="463"/>
      <c r="BH17" s="443"/>
    </row>
    <row r="18" spans="1:60" x14ac:dyDescent="0.25">
      <c r="B18" s="457"/>
      <c r="C18" s="458" t="s">
        <v>717</v>
      </c>
      <c r="E18" s="410"/>
      <c r="F18" s="443"/>
      <c r="G18" s="464"/>
      <c r="H18" s="437"/>
      <c r="I18" s="437"/>
      <c r="J18" s="437"/>
      <c r="K18" s="437"/>
      <c r="L18" s="465"/>
      <c r="M18" s="443"/>
      <c r="N18" s="421"/>
      <c r="O18" s="426"/>
      <c r="P18" s="426"/>
      <c r="Q18" s="426"/>
      <c r="R18" s="426"/>
      <c r="S18" s="426"/>
      <c r="T18" s="440"/>
      <c r="U18" s="443"/>
      <c r="V18" s="421"/>
      <c r="W18" s="426"/>
      <c r="X18" s="426"/>
      <c r="Y18" s="426"/>
      <c r="Z18" s="426"/>
      <c r="AA18" s="426"/>
      <c r="AB18" s="426"/>
      <c r="AC18" s="426"/>
      <c r="AD18" s="426"/>
      <c r="AE18" s="426"/>
      <c r="AF18" s="440"/>
      <c r="AG18" s="134"/>
      <c r="AH18" s="484"/>
      <c r="AI18" s="485"/>
      <c r="AJ18" s="485"/>
      <c r="AK18" s="485"/>
      <c r="AL18" s="485"/>
      <c r="AM18" s="486"/>
      <c r="AN18" s="443"/>
      <c r="AO18" s="464"/>
      <c r="AP18" s="437"/>
      <c r="AQ18" s="437"/>
      <c r="AR18" s="437"/>
      <c r="AS18" s="437"/>
      <c r="AT18" s="437"/>
      <c r="AU18" s="437"/>
      <c r="AV18" s="437"/>
      <c r="AW18" s="437"/>
      <c r="AX18" s="437"/>
      <c r="AY18" s="437"/>
      <c r="AZ18" s="437"/>
      <c r="BA18" s="437"/>
      <c r="BB18" s="437"/>
      <c r="BC18" s="437"/>
      <c r="BD18" s="437"/>
      <c r="BE18" s="437"/>
      <c r="BF18" s="437"/>
      <c r="BG18" s="465"/>
      <c r="BH18" s="443"/>
    </row>
    <row r="19" spans="1:60" x14ac:dyDescent="0.25">
      <c r="E19" s="443"/>
      <c r="F19" s="443"/>
      <c r="G19" s="443"/>
      <c r="H19" s="443"/>
      <c r="I19" s="443"/>
      <c r="J19" s="443"/>
      <c r="K19" s="443"/>
      <c r="L19" s="443"/>
      <c r="M19" s="443"/>
      <c r="N19" s="134"/>
      <c r="O19" s="134"/>
      <c r="P19" s="134"/>
      <c r="Q19" s="134"/>
      <c r="R19" s="134"/>
      <c r="S19" s="134"/>
      <c r="T19" s="134"/>
      <c r="U19" s="443"/>
      <c r="V19" s="134"/>
      <c r="W19" s="134"/>
      <c r="X19" s="134"/>
      <c r="Y19" s="134"/>
      <c r="Z19" s="134"/>
      <c r="AA19" s="134"/>
      <c r="AB19" s="134"/>
      <c r="AC19" s="134"/>
      <c r="AD19" s="134"/>
      <c r="AE19" s="134"/>
      <c r="AF19" s="134"/>
      <c r="AG19" s="134"/>
      <c r="AH19" s="482"/>
      <c r="AI19" s="482"/>
      <c r="AJ19" s="482"/>
      <c r="AK19" s="482"/>
      <c r="AL19" s="482"/>
      <c r="AM19" s="403"/>
      <c r="AN19" s="443"/>
      <c r="AO19" s="443"/>
      <c r="AP19" s="443"/>
      <c r="AQ19" s="443"/>
      <c r="AR19" s="443"/>
      <c r="AS19" s="443"/>
      <c r="AT19" s="443"/>
      <c r="AU19" s="443"/>
      <c r="AV19" s="443"/>
      <c r="AW19" s="443"/>
      <c r="AX19" s="443"/>
      <c r="AY19" s="443"/>
      <c r="AZ19" s="443"/>
      <c r="BA19" s="443"/>
      <c r="BB19" s="443"/>
      <c r="BC19" s="443"/>
      <c r="BD19" s="443"/>
      <c r="BE19" s="443"/>
      <c r="BF19" s="443"/>
      <c r="BG19" s="443"/>
      <c r="BH19" s="443"/>
    </row>
    <row r="20" spans="1:60" s="443" customFormat="1" x14ac:dyDescent="0.25">
      <c r="A20" s="409" t="s">
        <v>642</v>
      </c>
      <c r="B20" s="453" t="s">
        <v>718</v>
      </c>
      <c r="C20" s="454" t="s">
        <v>714</v>
      </c>
      <c r="E20" s="408" t="s">
        <v>766</v>
      </c>
      <c r="G20" s="470" t="s">
        <v>771</v>
      </c>
      <c r="H20" s="416"/>
      <c r="I20" s="416"/>
      <c r="J20" s="416"/>
      <c r="K20" s="416"/>
      <c r="L20" s="407"/>
      <c r="N20" s="470" t="s">
        <v>787</v>
      </c>
      <c r="O20" s="416"/>
      <c r="P20" s="416"/>
      <c r="Q20" s="416"/>
      <c r="R20" s="416"/>
      <c r="S20" s="416"/>
      <c r="T20" s="407"/>
      <c r="V20" s="470" t="s">
        <v>788</v>
      </c>
      <c r="W20" s="416"/>
      <c r="X20" s="416"/>
      <c r="Y20" s="416"/>
      <c r="Z20" s="416"/>
      <c r="AA20" s="416"/>
      <c r="AB20" s="416"/>
      <c r="AC20" s="416"/>
      <c r="AD20" s="416"/>
      <c r="AE20" s="416"/>
      <c r="AF20" s="407"/>
      <c r="AG20" s="134"/>
      <c r="AH20" s="478" t="s">
        <v>790</v>
      </c>
      <c r="AI20" s="479"/>
      <c r="AJ20" s="479"/>
      <c r="AK20" s="479"/>
      <c r="AL20" s="479"/>
      <c r="AM20" s="480"/>
      <c r="AO20" s="469" t="s">
        <v>792</v>
      </c>
      <c r="AP20" s="425"/>
      <c r="AQ20" s="425"/>
      <c r="AR20" s="425"/>
      <c r="AS20" s="425"/>
      <c r="AT20" s="425"/>
      <c r="AU20" s="425"/>
      <c r="AV20" s="425"/>
      <c r="AW20" s="425"/>
      <c r="AX20" s="425"/>
      <c r="AY20" s="425"/>
      <c r="AZ20" s="425"/>
      <c r="BA20" s="425"/>
      <c r="BB20" s="425"/>
      <c r="BC20" s="425"/>
      <c r="BD20" s="425"/>
      <c r="BE20" s="425"/>
      <c r="BF20" s="425"/>
      <c r="BG20" s="468"/>
    </row>
    <row r="21" spans="1:60" x14ac:dyDescent="0.25">
      <c r="B21" s="455"/>
      <c r="C21" s="456" t="s">
        <v>715</v>
      </c>
      <c r="E21" s="424"/>
      <c r="F21" s="443"/>
      <c r="G21" s="462"/>
      <c r="H21" s="443"/>
      <c r="I21" s="443"/>
      <c r="J21" s="443"/>
      <c r="K21" s="443"/>
      <c r="L21" s="463"/>
      <c r="M21" s="443"/>
      <c r="N21" s="431"/>
      <c r="O21" s="134"/>
      <c r="P21" s="134"/>
      <c r="Q21" s="134"/>
      <c r="R21" s="134"/>
      <c r="S21" s="134"/>
      <c r="T21" s="434"/>
      <c r="U21" s="443"/>
      <c r="V21" s="431"/>
      <c r="W21" s="134"/>
      <c r="X21" s="134"/>
      <c r="Y21" s="134"/>
      <c r="Z21" s="134"/>
      <c r="AA21" s="134"/>
      <c r="AB21" s="134"/>
      <c r="AC21" s="134"/>
      <c r="AD21" s="134"/>
      <c r="AE21" s="134"/>
      <c r="AF21" s="434"/>
      <c r="AG21" s="134"/>
      <c r="AH21" s="481"/>
      <c r="AI21" s="482"/>
      <c r="AJ21" s="482"/>
      <c r="AK21" s="482"/>
      <c r="AL21" s="482"/>
      <c r="AM21" s="483"/>
      <c r="AN21" s="443"/>
      <c r="AO21" s="462"/>
      <c r="AP21" s="443"/>
      <c r="AQ21" s="443"/>
      <c r="AR21" s="443"/>
      <c r="AS21" s="443"/>
      <c r="AT21" s="443"/>
      <c r="AU21" s="443"/>
      <c r="AV21" s="443"/>
      <c r="AW21" s="443"/>
      <c r="AX21" s="443"/>
      <c r="AY21" s="443"/>
      <c r="AZ21" s="443"/>
      <c r="BA21" s="443"/>
      <c r="BB21" s="443"/>
      <c r="BC21" s="443"/>
      <c r="BD21" s="443"/>
      <c r="BE21" s="443"/>
      <c r="BF21" s="443"/>
      <c r="BG21" s="463"/>
      <c r="BH21" s="443"/>
    </row>
    <row r="22" spans="1:60" x14ac:dyDescent="0.25">
      <c r="B22" s="455"/>
      <c r="C22" s="456" t="s">
        <v>716</v>
      </c>
      <c r="E22" s="424"/>
      <c r="F22" s="443"/>
      <c r="G22" s="462"/>
      <c r="H22" s="443"/>
      <c r="I22" s="443"/>
      <c r="J22" s="443"/>
      <c r="K22" s="443"/>
      <c r="L22" s="463"/>
      <c r="M22" s="443"/>
      <c r="N22" s="431"/>
      <c r="O22" s="134"/>
      <c r="P22" s="134"/>
      <c r="Q22" s="134"/>
      <c r="R22" s="134"/>
      <c r="S22" s="134"/>
      <c r="T22" s="434"/>
      <c r="U22" s="443"/>
      <c r="V22" s="431"/>
      <c r="W22" s="134"/>
      <c r="X22" s="134"/>
      <c r="Y22" s="134"/>
      <c r="Z22" s="134"/>
      <c r="AA22" s="134"/>
      <c r="AB22" s="134"/>
      <c r="AC22" s="134"/>
      <c r="AD22" s="134"/>
      <c r="AE22" s="134"/>
      <c r="AF22" s="434"/>
      <c r="AG22" s="134"/>
      <c r="AH22" s="481"/>
      <c r="AI22" s="482"/>
      <c r="AJ22" s="482"/>
      <c r="AK22" s="482"/>
      <c r="AL22" s="482"/>
      <c r="AM22" s="483"/>
      <c r="AN22" s="443"/>
      <c r="AO22" s="462"/>
      <c r="AP22" s="443"/>
      <c r="AQ22" s="443"/>
      <c r="AR22" s="443"/>
      <c r="AS22" s="443"/>
      <c r="AT22" s="443"/>
      <c r="AU22" s="443"/>
      <c r="AV22" s="443"/>
      <c r="AW22" s="443"/>
      <c r="AX22" s="443"/>
      <c r="AY22" s="443"/>
      <c r="AZ22" s="443"/>
      <c r="BA22" s="443"/>
      <c r="BB22" s="443"/>
      <c r="BC22" s="443"/>
      <c r="BD22" s="443"/>
      <c r="BE22" s="443"/>
      <c r="BF22" s="443"/>
      <c r="BG22" s="463"/>
      <c r="BH22" s="443"/>
    </row>
    <row r="23" spans="1:60" x14ac:dyDescent="0.25">
      <c r="B23" s="457"/>
      <c r="C23" s="458" t="s">
        <v>717</v>
      </c>
      <c r="E23" s="424"/>
      <c r="F23" s="443"/>
      <c r="G23" s="464"/>
      <c r="H23" s="437"/>
      <c r="I23" s="437"/>
      <c r="J23" s="437"/>
      <c r="K23" s="437"/>
      <c r="L23" s="465"/>
      <c r="M23" s="443"/>
      <c r="N23" s="421"/>
      <c r="O23" s="426"/>
      <c r="P23" s="426"/>
      <c r="Q23" s="426"/>
      <c r="R23" s="426"/>
      <c r="S23" s="426"/>
      <c r="T23" s="440"/>
      <c r="U23" s="443"/>
      <c r="V23" s="421"/>
      <c r="W23" s="426"/>
      <c r="X23" s="426"/>
      <c r="Y23" s="426"/>
      <c r="Z23" s="426"/>
      <c r="AA23" s="426"/>
      <c r="AB23" s="426"/>
      <c r="AC23" s="426"/>
      <c r="AD23" s="426"/>
      <c r="AE23" s="426"/>
      <c r="AF23" s="440"/>
      <c r="AG23" s="134"/>
      <c r="AH23" s="484"/>
      <c r="AI23" s="485"/>
      <c r="AJ23" s="485"/>
      <c r="AK23" s="485"/>
      <c r="AL23" s="485"/>
      <c r="AM23" s="486"/>
      <c r="AN23" s="443"/>
      <c r="AO23" s="464"/>
      <c r="AP23" s="437"/>
      <c r="AQ23" s="437"/>
      <c r="AR23" s="437"/>
      <c r="AS23" s="437"/>
      <c r="AT23" s="437"/>
      <c r="AU23" s="437"/>
      <c r="AV23" s="437"/>
      <c r="AW23" s="437"/>
      <c r="AX23" s="437"/>
      <c r="AY23" s="437"/>
      <c r="AZ23" s="437"/>
      <c r="BA23" s="437"/>
      <c r="BB23" s="437"/>
      <c r="BC23" s="437"/>
      <c r="BD23" s="437"/>
      <c r="BE23" s="437"/>
      <c r="BF23" s="437"/>
      <c r="BG23" s="465"/>
      <c r="BH23" s="443"/>
    </row>
    <row r="24" spans="1:60" s="443" customFormat="1" x14ac:dyDescent="0.25">
      <c r="A24" s="134"/>
      <c r="B24" s="459" t="s">
        <v>719</v>
      </c>
      <c r="C24" s="454" t="s">
        <v>714</v>
      </c>
      <c r="E24" s="408"/>
      <c r="G24" s="470"/>
      <c r="H24" s="416"/>
      <c r="I24" s="416"/>
      <c r="J24" s="416"/>
      <c r="K24" s="416"/>
      <c r="L24" s="407"/>
      <c r="N24" s="470"/>
      <c r="O24" s="416"/>
      <c r="P24" s="416"/>
      <c r="Q24" s="416"/>
      <c r="R24" s="416"/>
      <c r="S24" s="416"/>
      <c r="T24" s="407"/>
      <c r="V24" s="470"/>
      <c r="W24" s="416"/>
      <c r="X24" s="416"/>
      <c r="Y24" s="416"/>
      <c r="Z24" s="416"/>
      <c r="AA24" s="416"/>
      <c r="AB24" s="416"/>
      <c r="AC24" s="416"/>
      <c r="AD24" s="416"/>
      <c r="AE24" s="416"/>
      <c r="AF24" s="407"/>
      <c r="AG24" s="134"/>
      <c r="AH24" s="478"/>
      <c r="AI24" s="479"/>
      <c r="AJ24" s="479"/>
      <c r="AK24" s="479"/>
      <c r="AL24" s="479"/>
      <c r="AM24" s="480"/>
      <c r="AO24" s="469"/>
      <c r="AP24" s="425"/>
      <c r="AQ24" s="425"/>
      <c r="AR24" s="425"/>
      <c r="AS24" s="425"/>
      <c r="AT24" s="425"/>
      <c r="AU24" s="425"/>
      <c r="AV24" s="425"/>
      <c r="AW24" s="425"/>
      <c r="AX24" s="425"/>
      <c r="AY24" s="425"/>
      <c r="AZ24" s="425"/>
      <c r="BA24" s="425"/>
      <c r="BB24" s="425"/>
      <c r="BC24" s="425"/>
      <c r="BD24" s="425"/>
      <c r="BE24" s="425"/>
      <c r="BF24" s="425"/>
      <c r="BG24" s="468"/>
    </row>
    <row r="25" spans="1:60" x14ac:dyDescent="0.25">
      <c r="A25"/>
      <c r="B25" s="455"/>
      <c r="C25" s="456" t="s">
        <v>715</v>
      </c>
      <c r="E25" s="424"/>
      <c r="F25" s="443"/>
      <c r="G25" s="462"/>
      <c r="H25" s="443"/>
      <c r="I25" s="443"/>
      <c r="J25" s="443"/>
      <c r="K25" s="443"/>
      <c r="L25" s="463"/>
      <c r="M25" s="443"/>
      <c r="N25" s="431"/>
      <c r="O25" s="134"/>
      <c r="P25" s="134"/>
      <c r="Q25" s="134"/>
      <c r="R25" s="134"/>
      <c r="S25" s="134"/>
      <c r="T25" s="434"/>
      <c r="U25" s="443"/>
      <c r="V25" s="431"/>
      <c r="W25" s="134"/>
      <c r="X25" s="134"/>
      <c r="Y25" s="134"/>
      <c r="Z25" s="134"/>
      <c r="AA25" s="134"/>
      <c r="AB25" s="134"/>
      <c r="AC25" s="134"/>
      <c r="AD25" s="134"/>
      <c r="AE25" s="134"/>
      <c r="AF25" s="434"/>
      <c r="AG25" s="134"/>
      <c r="AH25" s="481"/>
      <c r="AI25" s="482"/>
      <c r="AJ25" s="482"/>
      <c r="AK25" s="482"/>
      <c r="AL25" s="482"/>
      <c r="AM25" s="483"/>
      <c r="AN25" s="443"/>
      <c r="AO25" s="462"/>
      <c r="AP25" s="443"/>
      <c r="AQ25" s="443"/>
      <c r="AR25" s="443"/>
      <c r="AS25" s="443"/>
      <c r="AT25" s="443"/>
      <c r="AU25" s="443"/>
      <c r="AV25" s="443"/>
      <c r="AW25" s="443"/>
      <c r="AX25" s="443"/>
      <c r="AY25" s="443"/>
      <c r="AZ25" s="443"/>
      <c r="BA25" s="443"/>
      <c r="BB25" s="443"/>
      <c r="BC25" s="443"/>
      <c r="BD25" s="443"/>
      <c r="BE25" s="443"/>
      <c r="BF25" s="443"/>
      <c r="BG25" s="463"/>
      <c r="BH25" s="443"/>
    </row>
    <row r="26" spans="1:60" x14ac:dyDescent="0.25">
      <c r="A26"/>
      <c r="B26" s="455"/>
      <c r="C26" s="456" t="s">
        <v>716</v>
      </c>
      <c r="E26" s="424"/>
      <c r="F26" s="443"/>
      <c r="G26" s="462"/>
      <c r="H26" s="443"/>
      <c r="I26" s="443"/>
      <c r="J26" s="443"/>
      <c r="K26" s="443"/>
      <c r="L26" s="463"/>
      <c r="M26" s="443"/>
      <c r="N26" s="431"/>
      <c r="O26" s="134"/>
      <c r="P26" s="134"/>
      <c r="Q26" s="134"/>
      <c r="R26" s="134"/>
      <c r="S26" s="134"/>
      <c r="T26" s="434"/>
      <c r="U26" s="443"/>
      <c r="V26" s="431"/>
      <c r="W26" s="134"/>
      <c r="X26" s="134"/>
      <c r="Y26" s="134"/>
      <c r="Z26" s="134"/>
      <c r="AA26" s="134"/>
      <c r="AB26" s="134"/>
      <c r="AC26" s="134"/>
      <c r="AD26" s="134"/>
      <c r="AE26" s="134"/>
      <c r="AF26" s="434"/>
      <c r="AG26" s="134"/>
      <c r="AH26" s="481"/>
      <c r="AI26" s="482"/>
      <c r="AJ26" s="482"/>
      <c r="AK26" s="482"/>
      <c r="AL26" s="482"/>
      <c r="AM26" s="483"/>
      <c r="AN26" s="443"/>
      <c r="AO26" s="462"/>
      <c r="AP26" s="443"/>
      <c r="AQ26" s="443"/>
      <c r="AR26" s="443"/>
      <c r="AS26" s="443"/>
      <c r="AT26" s="443"/>
      <c r="AU26" s="443"/>
      <c r="AV26" s="443"/>
      <c r="AW26" s="443"/>
      <c r="AX26" s="443"/>
      <c r="AY26" s="443"/>
      <c r="AZ26" s="443"/>
      <c r="BA26" s="443"/>
      <c r="BB26" s="443"/>
      <c r="BC26" s="443"/>
      <c r="BD26" s="443"/>
      <c r="BE26" s="443"/>
      <c r="BF26" s="443"/>
      <c r="BG26" s="463"/>
      <c r="BH26" s="443"/>
    </row>
    <row r="27" spans="1:60" x14ac:dyDescent="0.25">
      <c r="A27"/>
      <c r="B27" s="457"/>
      <c r="C27" s="458" t="s">
        <v>717</v>
      </c>
      <c r="E27" s="424"/>
      <c r="F27" s="443"/>
      <c r="G27" s="464"/>
      <c r="H27" s="437"/>
      <c r="I27" s="437"/>
      <c r="J27" s="437"/>
      <c r="K27" s="437"/>
      <c r="L27" s="465"/>
      <c r="M27" s="443"/>
      <c r="N27" s="421"/>
      <c r="O27" s="426"/>
      <c r="P27" s="426"/>
      <c r="Q27" s="426"/>
      <c r="R27" s="426"/>
      <c r="S27" s="426"/>
      <c r="T27" s="440"/>
      <c r="U27" s="443"/>
      <c r="V27" s="421"/>
      <c r="W27" s="426"/>
      <c r="X27" s="426"/>
      <c r="Y27" s="426"/>
      <c r="Z27" s="426"/>
      <c r="AA27" s="426"/>
      <c r="AB27" s="426"/>
      <c r="AC27" s="426"/>
      <c r="AD27" s="426"/>
      <c r="AE27" s="426"/>
      <c r="AF27" s="440"/>
      <c r="AG27" s="134"/>
      <c r="AH27" s="484"/>
      <c r="AI27" s="485"/>
      <c r="AJ27" s="485"/>
      <c r="AK27" s="485"/>
      <c r="AL27" s="485"/>
      <c r="AM27" s="486"/>
      <c r="AN27" s="443"/>
      <c r="AO27" s="464"/>
      <c r="AP27" s="437"/>
      <c r="AQ27" s="437"/>
      <c r="AR27" s="437"/>
      <c r="AS27" s="437"/>
      <c r="AT27" s="437"/>
      <c r="AU27" s="437"/>
      <c r="AV27" s="437"/>
      <c r="AW27" s="437"/>
      <c r="AX27" s="437"/>
      <c r="AY27" s="437"/>
      <c r="AZ27" s="437"/>
      <c r="BA27" s="437"/>
      <c r="BB27" s="437"/>
      <c r="BC27" s="437"/>
      <c r="BD27" s="437"/>
      <c r="BE27" s="437"/>
      <c r="BF27" s="437"/>
      <c r="BG27" s="465"/>
      <c r="BH27" s="443"/>
    </row>
    <row r="28" spans="1:60" s="443" customFormat="1" x14ac:dyDescent="0.25">
      <c r="A28" s="134"/>
      <c r="B28" s="459" t="s">
        <v>720</v>
      </c>
      <c r="C28" s="454" t="s">
        <v>714</v>
      </c>
      <c r="E28" s="408"/>
      <c r="G28" s="470"/>
      <c r="H28" s="416"/>
      <c r="I28" s="416"/>
      <c r="J28" s="416"/>
      <c r="K28" s="416"/>
      <c r="L28" s="407"/>
      <c r="N28" s="470"/>
      <c r="O28" s="416"/>
      <c r="P28" s="416"/>
      <c r="Q28" s="416"/>
      <c r="R28" s="416"/>
      <c r="S28" s="416"/>
      <c r="T28" s="407"/>
      <c r="V28" s="470"/>
      <c r="W28" s="416"/>
      <c r="X28" s="416"/>
      <c r="Y28" s="416"/>
      <c r="Z28" s="416"/>
      <c r="AA28" s="416"/>
      <c r="AB28" s="416"/>
      <c r="AC28" s="416"/>
      <c r="AD28" s="416"/>
      <c r="AE28" s="416"/>
      <c r="AF28" s="407"/>
      <c r="AG28" s="134"/>
      <c r="AH28" s="478"/>
      <c r="AI28" s="479"/>
      <c r="AJ28" s="479"/>
      <c r="AK28" s="479"/>
      <c r="AL28" s="479"/>
      <c r="AM28" s="480"/>
      <c r="AO28" s="469"/>
      <c r="AP28" s="425"/>
      <c r="AQ28" s="425"/>
      <c r="AR28" s="425"/>
      <c r="AS28" s="425"/>
      <c r="AT28" s="425"/>
      <c r="AU28" s="425"/>
      <c r="AV28" s="425"/>
      <c r="AW28" s="425"/>
      <c r="AX28" s="425"/>
      <c r="AY28" s="425"/>
      <c r="AZ28" s="425"/>
      <c r="BA28" s="425"/>
      <c r="BB28" s="425"/>
      <c r="BC28" s="425"/>
      <c r="BD28" s="425"/>
      <c r="BE28" s="425"/>
      <c r="BF28" s="425"/>
      <c r="BG28" s="468"/>
    </row>
    <row r="29" spans="1:60" x14ac:dyDescent="0.25">
      <c r="A29"/>
      <c r="B29" s="455"/>
      <c r="C29" s="456" t="s">
        <v>715</v>
      </c>
      <c r="E29" s="424"/>
      <c r="F29" s="443"/>
      <c r="G29" s="462"/>
      <c r="H29" s="443"/>
      <c r="I29" s="443"/>
      <c r="J29" s="443"/>
      <c r="K29" s="443"/>
      <c r="L29" s="463"/>
      <c r="M29" s="443"/>
      <c r="N29" s="431"/>
      <c r="O29" s="134"/>
      <c r="P29" s="134"/>
      <c r="Q29" s="134"/>
      <c r="R29" s="134"/>
      <c r="S29" s="134"/>
      <c r="T29" s="434"/>
      <c r="U29" s="443"/>
      <c r="V29" s="431"/>
      <c r="W29" s="134"/>
      <c r="X29" s="134"/>
      <c r="Y29" s="134"/>
      <c r="Z29" s="134"/>
      <c r="AA29" s="134"/>
      <c r="AB29" s="134"/>
      <c r="AC29" s="134"/>
      <c r="AD29" s="134"/>
      <c r="AE29" s="134"/>
      <c r="AF29" s="434"/>
      <c r="AG29" s="134"/>
      <c r="AH29" s="481"/>
      <c r="AI29" s="482"/>
      <c r="AJ29" s="482"/>
      <c r="AK29" s="482"/>
      <c r="AL29" s="482"/>
      <c r="AM29" s="483"/>
      <c r="AN29" s="443"/>
      <c r="AO29" s="462"/>
      <c r="AP29" s="443"/>
      <c r="AQ29" s="443"/>
      <c r="AR29" s="443"/>
      <c r="AS29" s="443"/>
      <c r="AT29" s="443"/>
      <c r="AU29" s="443"/>
      <c r="AV29" s="443"/>
      <c r="AW29" s="443"/>
      <c r="AX29" s="443"/>
      <c r="AY29" s="443"/>
      <c r="AZ29" s="443"/>
      <c r="BA29" s="443"/>
      <c r="BB29" s="443"/>
      <c r="BC29" s="443"/>
      <c r="BD29" s="443"/>
      <c r="BE29" s="443"/>
      <c r="BF29" s="443"/>
      <c r="BG29" s="463"/>
      <c r="BH29" s="443"/>
    </row>
    <row r="30" spans="1:60" x14ac:dyDescent="0.25">
      <c r="A30"/>
      <c r="B30" s="455"/>
      <c r="C30" s="456" t="s">
        <v>716</v>
      </c>
      <c r="E30" s="424"/>
      <c r="F30" s="443"/>
      <c r="G30" s="462"/>
      <c r="H30" s="443"/>
      <c r="I30" s="443"/>
      <c r="J30" s="443"/>
      <c r="K30" s="443"/>
      <c r="L30" s="463"/>
      <c r="M30" s="443"/>
      <c r="N30" s="431"/>
      <c r="O30" s="134"/>
      <c r="P30" s="134"/>
      <c r="Q30" s="134"/>
      <c r="R30" s="134"/>
      <c r="S30" s="134"/>
      <c r="T30" s="434"/>
      <c r="U30" s="443"/>
      <c r="V30" s="431"/>
      <c r="W30" s="134"/>
      <c r="X30" s="134"/>
      <c r="Y30" s="134"/>
      <c r="Z30" s="134"/>
      <c r="AA30" s="134"/>
      <c r="AB30" s="134"/>
      <c r="AC30" s="134"/>
      <c r="AD30" s="134"/>
      <c r="AE30" s="134"/>
      <c r="AF30" s="434"/>
      <c r="AG30" s="134"/>
      <c r="AH30" s="481"/>
      <c r="AI30" s="482"/>
      <c r="AJ30" s="482"/>
      <c r="AK30" s="482"/>
      <c r="AL30" s="482"/>
      <c r="AM30" s="483"/>
      <c r="AN30" s="443"/>
      <c r="AO30" s="462"/>
      <c r="AP30" s="443"/>
      <c r="AQ30" s="443"/>
      <c r="AR30" s="443"/>
      <c r="AS30" s="443"/>
      <c r="AT30" s="443"/>
      <c r="AU30" s="443"/>
      <c r="AV30" s="443"/>
      <c r="AW30" s="443"/>
      <c r="AX30" s="443"/>
      <c r="AY30" s="443"/>
      <c r="AZ30" s="443"/>
      <c r="BA30" s="443"/>
      <c r="BB30" s="443"/>
      <c r="BC30" s="443"/>
      <c r="BD30" s="443"/>
      <c r="BE30" s="443"/>
      <c r="BF30" s="443"/>
      <c r="BG30" s="463"/>
      <c r="BH30" s="443"/>
    </row>
    <row r="31" spans="1:60" x14ac:dyDescent="0.25">
      <c r="A31"/>
      <c r="B31" s="457"/>
      <c r="C31" s="458" t="s">
        <v>717</v>
      </c>
      <c r="E31" s="424"/>
      <c r="F31" s="443"/>
      <c r="G31" s="464"/>
      <c r="H31" s="437"/>
      <c r="I31" s="545"/>
      <c r="J31" s="545"/>
      <c r="K31" s="545"/>
      <c r="L31" s="463"/>
      <c r="M31" s="443"/>
      <c r="N31" s="421"/>
      <c r="O31" s="426"/>
      <c r="P31" s="426"/>
      <c r="Q31" s="426"/>
      <c r="R31" s="426"/>
      <c r="S31" s="426"/>
      <c r="T31" s="440"/>
      <c r="U31" s="443"/>
      <c r="V31" s="421"/>
      <c r="W31" s="426"/>
      <c r="X31" s="426"/>
      <c r="Y31" s="426"/>
      <c r="Z31" s="426"/>
      <c r="AA31" s="426"/>
      <c r="AB31" s="426"/>
      <c r="AC31" s="426"/>
      <c r="AD31" s="426"/>
      <c r="AE31" s="426"/>
      <c r="AF31" s="440"/>
      <c r="AG31" s="134"/>
      <c r="AH31" s="484"/>
      <c r="AI31" s="485"/>
      <c r="AJ31" s="485"/>
      <c r="AK31" s="485"/>
      <c r="AL31" s="485"/>
      <c r="AM31" s="486"/>
      <c r="AN31" s="443"/>
      <c r="AO31" s="464"/>
      <c r="AP31" s="437"/>
      <c r="AQ31" s="437"/>
      <c r="AR31" s="437"/>
      <c r="AS31" s="437"/>
      <c r="AT31" s="437"/>
      <c r="AU31" s="437"/>
      <c r="AV31" s="437"/>
      <c r="AW31" s="437"/>
      <c r="AX31" s="437"/>
      <c r="AY31" s="437"/>
      <c r="AZ31" s="437"/>
      <c r="BA31" s="437"/>
      <c r="BB31" s="437"/>
      <c r="BC31" s="437"/>
      <c r="BD31" s="437"/>
      <c r="BE31" s="437"/>
      <c r="BF31" s="437"/>
      <c r="BG31" s="465"/>
      <c r="BH31" s="443"/>
    </row>
    <row r="32" spans="1:60" s="443" customFormat="1" x14ac:dyDescent="0.25">
      <c r="A32" s="134"/>
      <c r="B32" s="459" t="s">
        <v>721</v>
      </c>
      <c r="C32" s="454" t="s">
        <v>714</v>
      </c>
      <c r="E32" s="408"/>
      <c r="G32" s="470"/>
      <c r="H32" s="416"/>
      <c r="I32" s="416"/>
      <c r="J32" s="416"/>
      <c r="K32" s="416"/>
      <c r="L32" s="407"/>
      <c r="N32" s="470"/>
      <c r="O32" s="416"/>
      <c r="P32" s="416"/>
      <c r="Q32" s="416"/>
      <c r="R32" s="416"/>
      <c r="S32" s="416"/>
      <c r="T32" s="407"/>
      <c r="V32" s="470"/>
      <c r="W32" s="416"/>
      <c r="X32" s="416"/>
      <c r="Y32" s="416"/>
      <c r="Z32" s="416"/>
      <c r="AA32" s="416"/>
      <c r="AB32" s="416"/>
      <c r="AC32" s="416"/>
      <c r="AD32" s="416"/>
      <c r="AE32" s="416"/>
      <c r="AF32" s="407"/>
      <c r="AG32" s="134"/>
      <c r="AH32" s="478"/>
      <c r="AI32" s="479"/>
      <c r="AJ32" s="479"/>
      <c r="AK32" s="479"/>
      <c r="AL32" s="479"/>
      <c r="AM32" s="480"/>
      <c r="AO32" s="469"/>
      <c r="AP32" s="425"/>
      <c r="AQ32" s="425"/>
      <c r="AR32" s="425"/>
      <c r="AS32" s="425"/>
      <c r="AT32" s="425"/>
      <c r="AU32" s="425"/>
      <c r="AV32" s="425"/>
      <c r="AW32" s="425"/>
      <c r="AX32" s="425"/>
      <c r="AY32" s="425"/>
      <c r="AZ32" s="425"/>
      <c r="BA32" s="425"/>
      <c r="BB32" s="425"/>
      <c r="BC32" s="425"/>
      <c r="BD32" s="425"/>
      <c r="BE32" s="425"/>
      <c r="BF32" s="425"/>
      <c r="BG32" s="468"/>
    </row>
    <row r="33" spans="1:60" x14ac:dyDescent="0.25">
      <c r="A33"/>
      <c r="B33" s="455"/>
      <c r="C33" s="456" t="s">
        <v>715</v>
      </c>
      <c r="E33" s="424"/>
      <c r="F33" s="443"/>
      <c r="G33" s="462"/>
      <c r="H33" s="443"/>
      <c r="I33" s="443"/>
      <c r="J33" s="443"/>
      <c r="K33" s="443"/>
      <c r="L33" s="463"/>
      <c r="M33" s="443"/>
      <c r="N33" s="431"/>
      <c r="O33" s="134"/>
      <c r="P33" s="134"/>
      <c r="Q33" s="134"/>
      <c r="R33" s="134"/>
      <c r="S33" s="134"/>
      <c r="T33" s="434"/>
      <c r="U33" s="443"/>
      <c r="V33" s="431"/>
      <c r="W33" s="134"/>
      <c r="X33" s="134"/>
      <c r="Y33" s="134"/>
      <c r="Z33" s="134"/>
      <c r="AA33" s="134"/>
      <c r="AB33" s="134"/>
      <c r="AC33" s="134"/>
      <c r="AD33" s="134"/>
      <c r="AE33" s="134"/>
      <c r="AF33" s="434"/>
      <c r="AG33" s="134"/>
      <c r="AH33" s="481"/>
      <c r="AI33" s="482"/>
      <c r="AJ33" s="482"/>
      <c r="AK33" s="482"/>
      <c r="AL33" s="482"/>
      <c r="AM33" s="483"/>
      <c r="AN33" s="443"/>
      <c r="AO33" s="462"/>
      <c r="AP33" s="443"/>
      <c r="AQ33" s="443"/>
      <c r="AR33" s="443"/>
      <c r="AS33" s="443"/>
      <c r="AT33" s="443"/>
      <c r="AU33" s="443"/>
      <c r="AV33" s="443"/>
      <c r="AW33" s="443"/>
      <c r="AX33" s="443"/>
      <c r="AY33" s="443"/>
      <c r="AZ33" s="443"/>
      <c r="BA33" s="443"/>
      <c r="BB33" s="443"/>
      <c r="BC33" s="443"/>
      <c r="BD33" s="443"/>
      <c r="BE33" s="443"/>
      <c r="BF33" s="443"/>
      <c r="BG33" s="463"/>
      <c r="BH33" s="443"/>
    </row>
    <row r="34" spans="1:60" x14ac:dyDescent="0.25">
      <c r="A34"/>
      <c r="B34" s="455"/>
      <c r="C34" s="456" t="s">
        <v>716</v>
      </c>
      <c r="E34" s="424"/>
      <c r="F34" s="443"/>
      <c r="G34" s="462"/>
      <c r="H34" s="443"/>
      <c r="I34" s="443"/>
      <c r="J34" s="443"/>
      <c r="K34" s="443"/>
      <c r="L34" s="463"/>
      <c r="M34" s="443"/>
      <c r="N34" s="431"/>
      <c r="O34" s="134"/>
      <c r="P34" s="134"/>
      <c r="Q34" s="134"/>
      <c r="R34" s="134"/>
      <c r="S34" s="134"/>
      <c r="T34" s="434"/>
      <c r="U34" s="443"/>
      <c r="V34" s="431"/>
      <c r="W34" s="134"/>
      <c r="X34" s="134"/>
      <c r="Y34" s="134"/>
      <c r="Z34" s="134"/>
      <c r="AA34" s="134"/>
      <c r="AB34" s="134"/>
      <c r="AC34" s="134"/>
      <c r="AD34" s="134"/>
      <c r="AE34" s="134"/>
      <c r="AF34" s="434"/>
      <c r="AG34" s="134"/>
      <c r="AH34" s="481"/>
      <c r="AI34" s="482"/>
      <c r="AJ34" s="482"/>
      <c r="AK34" s="482"/>
      <c r="AL34" s="482"/>
      <c r="AM34" s="483"/>
      <c r="AN34" s="443"/>
      <c r="AO34" s="462"/>
      <c r="AP34" s="443"/>
      <c r="AQ34" s="443"/>
      <c r="AR34" s="443"/>
      <c r="AS34" s="443"/>
      <c r="AT34" s="443"/>
      <c r="AU34" s="443"/>
      <c r="AV34" s="443"/>
      <c r="AW34" s="443"/>
      <c r="AX34" s="443"/>
      <c r="AY34" s="443"/>
      <c r="AZ34" s="443"/>
      <c r="BA34" s="443"/>
      <c r="BB34" s="443"/>
      <c r="BC34" s="443"/>
      <c r="BD34" s="443"/>
      <c r="BE34" s="443"/>
      <c r="BF34" s="443"/>
      <c r="BG34" s="463"/>
      <c r="BH34" s="443"/>
    </row>
    <row r="35" spans="1:60" x14ac:dyDescent="0.25">
      <c r="A35"/>
      <c r="B35" s="457"/>
      <c r="C35" s="458" t="s">
        <v>717</v>
      </c>
      <c r="E35" s="424"/>
      <c r="F35" s="443"/>
      <c r="G35" s="464"/>
      <c r="H35" s="437"/>
      <c r="I35" s="437"/>
      <c r="J35" s="437"/>
      <c r="K35" s="437"/>
      <c r="L35" s="465"/>
      <c r="M35" s="443"/>
      <c r="N35" s="421"/>
      <c r="O35" s="426"/>
      <c r="P35" s="426"/>
      <c r="Q35" s="426"/>
      <c r="R35" s="426"/>
      <c r="S35" s="426"/>
      <c r="T35" s="440"/>
      <c r="U35" s="443"/>
      <c r="V35" s="421"/>
      <c r="W35" s="426"/>
      <c r="X35" s="426"/>
      <c r="Y35" s="426"/>
      <c r="Z35" s="426"/>
      <c r="AA35" s="426"/>
      <c r="AB35" s="426"/>
      <c r="AC35" s="426"/>
      <c r="AD35" s="426"/>
      <c r="AE35" s="426"/>
      <c r="AF35" s="440"/>
      <c r="AG35" s="134"/>
      <c r="AH35" s="484"/>
      <c r="AI35" s="485"/>
      <c r="AJ35" s="485"/>
      <c r="AK35" s="485"/>
      <c r="AL35" s="485"/>
      <c r="AM35" s="486"/>
      <c r="AN35" s="443"/>
      <c r="AO35" s="464"/>
      <c r="AP35" s="437"/>
      <c r="AQ35" s="437"/>
      <c r="AR35" s="437"/>
      <c r="AS35" s="437"/>
      <c r="AT35" s="437"/>
      <c r="AU35" s="437"/>
      <c r="AV35" s="437"/>
      <c r="AW35" s="437"/>
      <c r="AX35" s="437"/>
      <c r="AY35" s="437"/>
      <c r="AZ35" s="437"/>
      <c r="BA35" s="437"/>
      <c r="BB35" s="437"/>
      <c r="BC35" s="437"/>
      <c r="BD35" s="437"/>
      <c r="BE35" s="437"/>
      <c r="BF35" s="437"/>
      <c r="BG35" s="465"/>
      <c r="BH35" s="443"/>
    </row>
    <row r="36" spans="1:60" s="443" customFormat="1" x14ac:dyDescent="0.25">
      <c r="A36" s="134"/>
      <c r="B36" s="459" t="s">
        <v>722</v>
      </c>
      <c r="C36" s="454" t="s">
        <v>714</v>
      </c>
      <c r="E36" s="408"/>
      <c r="G36" s="470"/>
      <c r="H36" s="416"/>
      <c r="I36" s="416"/>
      <c r="J36" s="416"/>
      <c r="K36" s="416"/>
      <c r="L36" s="407"/>
      <c r="N36" s="470"/>
      <c r="O36" s="416"/>
      <c r="P36" s="416"/>
      <c r="Q36" s="416"/>
      <c r="R36" s="416"/>
      <c r="S36" s="416"/>
      <c r="T36" s="407"/>
      <c r="V36" s="470"/>
      <c r="W36" s="416"/>
      <c r="X36" s="416"/>
      <c r="Y36" s="416"/>
      <c r="Z36" s="416"/>
      <c r="AA36" s="416"/>
      <c r="AB36" s="416"/>
      <c r="AC36" s="416"/>
      <c r="AD36" s="416"/>
      <c r="AE36" s="416"/>
      <c r="AF36" s="407"/>
      <c r="AG36" s="134"/>
      <c r="AH36" s="478"/>
      <c r="AI36" s="479"/>
      <c r="AJ36" s="479"/>
      <c r="AK36" s="479"/>
      <c r="AL36" s="479"/>
      <c r="AM36" s="480"/>
      <c r="AO36" s="469"/>
      <c r="AP36" s="425"/>
      <c r="AQ36" s="425"/>
      <c r="AR36" s="425"/>
      <c r="AS36" s="425"/>
      <c r="AT36" s="425"/>
      <c r="AU36" s="425"/>
      <c r="AV36" s="425"/>
      <c r="AW36" s="425"/>
      <c r="AX36" s="425"/>
      <c r="AY36" s="425"/>
      <c r="AZ36" s="425"/>
      <c r="BA36" s="425"/>
      <c r="BB36" s="425"/>
      <c r="BC36" s="425"/>
      <c r="BD36" s="425"/>
      <c r="BE36" s="425"/>
      <c r="BF36" s="425"/>
      <c r="BG36" s="468"/>
    </row>
    <row r="37" spans="1:60" x14ac:dyDescent="0.25">
      <c r="A37"/>
      <c r="B37" s="455"/>
      <c r="C37" s="456" t="s">
        <v>715</v>
      </c>
      <c r="E37" s="424"/>
      <c r="F37" s="443"/>
      <c r="G37" s="462"/>
      <c r="H37" s="443"/>
      <c r="I37" s="443"/>
      <c r="J37" s="443"/>
      <c r="K37" s="443"/>
      <c r="L37" s="463"/>
      <c r="M37" s="443"/>
      <c r="N37" s="431"/>
      <c r="O37" s="134"/>
      <c r="P37" s="134"/>
      <c r="Q37" s="134"/>
      <c r="R37" s="134"/>
      <c r="S37" s="134"/>
      <c r="T37" s="434"/>
      <c r="U37" s="443"/>
      <c r="V37" s="431"/>
      <c r="W37" s="134"/>
      <c r="X37" s="134"/>
      <c r="Y37" s="134"/>
      <c r="Z37" s="134"/>
      <c r="AA37" s="134"/>
      <c r="AB37" s="134"/>
      <c r="AC37" s="134"/>
      <c r="AD37" s="134"/>
      <c r="AE37" s="134"/>
      <c r="AF37" s="434"/>
      <c r="AG37" s="134"/>
      <c r="AH37" s="481"/>
      <c r="AI37" s="482"/>
      <c r="AJ37" s="482"/>
      <c r="AK37" s="482"/>
      <c r="AL37" s="482"/>
      <c r="AM37" s="483"/>
      <c r="AN37" s="443"/>
      <c r="AO37" s="462"/>
      <c r="AP37" s="443"/>
      <c r="AQ37" s="443"/>
      <c r="AR37" s="443"/>
      <c r="AS37" s="443"/>
      <c r="AT37" s="443"/>
      <c r="AU37" s="443"/>
      <c r="AV37" s="443"/>
      <c r="AW37" s="443"/>
      <c r="AX37" s="443"/>
      <c r="AY37" s="443"/>
      <c r="AZ37" s="443"/>
      <c r="BA37" s="443"/>
      <c r="BB37" s="443"/>
      <c r="BC37" s="443"/>
      <c r="BD37" s="443"/>
      <c r="BE37" s="443"/>
      <c r="BF37" s="443"/>
      <c r="BG37" s="463"/>
      <c r="BH37" s="443"/>
    </row>
    <row r="38" spans="1:60" x14ac:dyDescent="0.25">
      <c r="A38"/>
      <c r="B38" s="455"/>
      <c r="C38" s="456" t="s">
        <v>716</v>
      </c>
      <c r="E38" s="424"/>
      <c r="F38" s="443"/>
      <c r="G38" s="462"/>
      <c r="H38" s="443"/>
      <c r="I38" s="443"/>
      <c r="J38" s="443"/>
      <c r="K38" s="443"/>
      <c r="L38" s="463"/>
      <c r="M38" s="443"/>
      <c r="N38" s="431"/>
      <c r="O38" s="134"/>
      <c r="P38" s="134"/>
      <c r="Q38" s="134"/>
      <c r="R38" s="134"/>
      <c r="S38" s="134"/>
      <c r="T38" s="434"/>
      <c r="U38" s="443"/>
      <c r="V38" s="431"/>
      <c r="W38" s="134"/>
      <c r="X38" s="134"/>
      <c r="Y38" s="134"/>
      <c r="Z38" s="134"/>
      <c r="AA38" s="134"/>
      <c r="AB38" s="134"/>
      <c r="AC38" s="134"/>
      <c r="AD38" s="134"/>
      <c r="AE38" s="134"/>
      <c r="AF38" s="434"/>
      <c r="AG38" s="134"/>
      <c r="AH38" s="481"/>
      <c r="AI38" s="482"/>
      <c r="AJ38" s="482"/>
      <c r="AK38" s="482"/>
      <c r="AL38" s="482"/>
      <c r="AM38" s="483"/>
      <c r="AN38" s="443"/>
      <c r="AO38" s="462"/>
      <c r="AP38" s="443"/>
      <c r="AQ38" s="443"/>
      <c r="AR38" s="443"/>
      <c r="AS38" s="443"/>
      <c r="AT38" s="443"/>
      <c r="AU38" s="443"/>
      <c r="AV38" s="443"/>
      <c r="AW38" s="443"/>
      <c r="AX38" s="443"/>
      <c r="AY38" s="443"/>
      <c r="AZ38" s="443"/>
      <c r="BA38" s="443"/>
      <c r="BB38" s="443"/>
      <c r="BC38" s="443"/>
      <c r="BD38" s="443"/>
      <c r="BE38" s="443"/>
      <c r="BF38" s="443"/>
      <c r="BG38" s="463"/>
      <c r="BH38" s="443"/>
    </row>
    <row r="39" spans="1:60" x14ac:dyDescent="0.25">
      <c r="A39"/>
      <c r="B39" s="457"/>
      <c r="C39" s="458" t="s">
        <v>717</v>
      </c>
      <c r="E39" s="424"/>
      <c r="F39" s="443"/>
      <c r="G39" s="464"/>
      <c r="H39" s="437"/>
      <c r="I39" s="437"/>
      <c r="J39" s="437"/>
      <c r="K39" s="437"/>
      <c r="L39" s="465"/>
      <c r="M39" s="443"/>
      <c r="N39" s="421"/>
      <c r="O39" s="426"/>
      <c r="P39" s="426"/>
      <c r="Q39" s="426"/>
      <c r="R39" s="426"/>
      <c r="S39" s="426"/>
      <c r="T39" s="440"/>
      <c r="U39" s="443"/>
      <c r="V39" s="421"/>
      <c r="W39" s="426"/>
      <c r="X39" s="426"/>
      <c r="Y39" s="426"/>
      <c r="Z39" s="426"/>
      <c r="AA39" s="426"/>
      <c r="AB39" s="426"/>
      <c r="AC39" s="426"/>
      <c r="AD39" s="426"/>
      <c r="AE39" s="426"/>
      <c r="AF39" s="440"/>
      <c r="AG39" s="134"/>
      <c r="AH39" s="484"/>
      <c r="AI39" s="485"/>
      <c r="AJ39" s="485"/>
      <c r="AK39" s="485"/>
      <c r="AL39" s="485"/>
      <c r="AM39" s="486"/>
      <c r="AN39" s="443"/>
      <c r="AO39" s="464"/>
      <c r="AP39" s="437"/>
      <c r="AQ39" s="437"/>
      <c r="AR39" s="437"/>
      <c r="AS39" s="437"/>
      <c r="AT39" s="437"/>
      <c r="AU39" s="437"/>
      <c r="AV39" s="437"/>
      <c r="AW39" s="437"/>
      <c r="AX39" s="437"/>
      <c r="AY39" s="437"/>
      <c r="AZ39" s="437"/>
      <c r="BA39" s="437"/>
      <c r="BB39" s="437"/>
      <c r="BC39" s="437"/>
      <c r="BD39" s="437"/>
      <c r="BE39" s="437"/>
      <c r="BF39" s="437"/>
      <c r="BG39" s="465"/>
      <c r="BH39" s="443"/>
    </row>
    <row r="40" spans="1:60" s="443" customFormat="1" x14ac:dyDescent="0.25">
      <c r="A40" s="134"/>
      <c r="B40" s="459" t="s">
        <v>723</v>
      </c>
      <c r="C40" s="454" t="s">
        <v>714</v>
      </c>
      <c r="E40" s="408"/>
      <c r="G40" s="470"/>
      <c r="H40" s="416"/>
      <c r="I40" s="416"/>
      <c r="J40" s="416"/>
      <c r="K40" s="416"/>
      <c r="L40" s="407"/>
      <c r="N40" s="470"/>
      <c r="O40" s="416"/>
      <c r="P40" s="416"/>
      <c r="Q40" s="416"/>
      <c r="R40" s="416"/>
      <c r="S40" s="416"/>
      <c r="T40" s="407"/>
      <c r="V40" s="470"/>
      <c r="W40" s="416"/>
      <c r="X40" s="416"/>
      <c r="Y40" s="416"/>
      <c r="Z40" s="416"/>
      <c r="AA40" s="416"/>
      <c r="AB40" s="416"/>
      <c r="AC40" s="416"/>
      <c r="AD40" s="416"/>
      <c r="AE40" s="416"/>
      <c r="AF40" s="407"/>
      <c r="AG40" s="134"/>
      <c r="AH40" s="478"/>
      <c r="AI40" s="479"/>
      <c r="AJ40" s="479"/>
      <c r="AK40" s="479"/>
      <c r="AL40" s="479"/>
      <c r="AM40" s="480"/>
      <c r="AO40" s="469"/>
      <c r="AP40" s="425"/>
      <c r="AQ40" s="425"/>
      <c r="AR40" s="425"/>
      <c r="AS40" s="425"/>
      <c r="AT40" s="425"/>
      <c r="AU40" s="425"/>
      <c r="AV40" s="425"/>
      <c r="AW40" s="425"/>
      <c r="AX40" s="425"/>
      <c r="AY40" s="425"/>
      <c r="AZ40" s="425"/>
      <c r="BA40" s="425"/>
      <c r="BB40" s="425"/>
      <c r="BC40" s="425"/>
      <c r="BD40" s="425"/>
      <c r="BE40" s="425"/>
      <c r="BF40" s="425"/>
      <c r="BG40" s="468"/>
    </row>
    <row r="41" spans="1:60" x14ac:dyDescent="0.25">
      <c r="A41"/>
      <c r="B41" s="455"/>
      <c r="C41" s="456" t="s">
        <v>715</v>
      </c>
      <c r="E41" s="424"/>
      <c r="F41" s="443"/>
      <c r="G41" s="462"/>
      <c r="H41" s="443"/>
      <c r="I41" s="443"/>
      <c r="J41" s="443"/>
      <c r="K41" s="443"/>
      <c r="L41" s="463"/>
      <c r="M41" s="443"/>
      <c r="N41" s="431"/>
      <c r="O41" s="134"/>
      <c r="P41" s="134"/>
      <c r="Q41" s="134"/>
      <c r="R41" s="134"/>
      <c r="S41" s="134"/>
      <c r="T41" s="434"/>
      <c r="U41" s="443"/>
      <c r="V41" s="431"/>
      <c r="W41" s="134"/>
      <c r="X41" s="134"/>
      <c r="Y41" s="134"/>
      <c r="Z41" s="134"/>
      <c r="AA41" s="134"/>
      <c r="AB41" s="134"/>
      <c r="AC41" s="134"/>
      <c r="AD41" s="134"/>
      <c r="AE41" s="134"/>
      <c r="AF41" s="434"/>
      <c r="AG41" s="134"/>
      <c r="AH41" s="481"/>
      <c r="AI41" s="482"/>
      <c r="AJ41" s="482"/>
      <c r="AK41" s="482"/>
      <c r="AL41" s="482"/>
      <c r="AM41" s="483"/>
      <c r="AN41" s="443"/>
      <c r="AO41" s="462"/>
      <c r="AP41" s="443"/>
      <c r="AQ41" s="443"/>
      <c r="AR41" s="443"/>
      <c r="AS41" s="443"/>
      <c r="AT41" s="443"/>
      <c r="AU41" s="443"/>
      <c r="AV41" s="443"/>
      <c r="AW41" s="443"/>
      <c r="AX41" s="443"/>
      <c r="AY41" s="443"/>
      <c r="AZ41" s="443"/>
      <c r="BA41" s="443"/>
      <c r="BB41" s="443"/>
      <c r="BC41" s="443"/>
      <c r="BD41" s="443"/>
      <c r="BE41" s="443"/>
      <c r="BF41" s="443"/>
      <c r="BG41" s="463"/>
      <c r="BH41" s="443"/>
    </row>
    <row r="42" spans="1:60" x14ac:dyDescent="0.25">
      <c r="A42"/>
      <c r="B42" s="455"/>
      <c r="C42" s="456" t="s">
        <v>716</v>
      </c>
      <c r="E42" s="424"/>
      <c r="F42" s="443"/>
      <c r="G42" s="462"/>
      <c r="H42" s="443"/>
      <c r="I42" s="443"/>
      <c r="J42" s="443"/>
      <c r="K42" s="443"/>
      <c r="L42" s="463"/>
      <c r="M42" s="443"/>
      <c r="N42" s="431"/>
      <c r="O42" s="134"/>
      <c r="P42" s="134"/>
      <c r="Q42" s="134"/>
      <c r="R42" s="134"/>
      <c r="S42" s="134"/>
      <c r="T42" s="434"/>
      <c r="U42" s="443"/>
      <c r="V42" s="431"/>
      <c r="W42" s="134"/>
      <c r="X42" s="134"/>
      <c r="Y42" s="134"/>
      <c r="Z42" s="134"/>
      <c r="AA42" s="134"/>
      <c r="AB42" s="134"/>
      <c r="AC42" s="134"/>
      <c r="AD42" s="134"/>
      <c r="AE42" s="134"/>
      <c r="AF42" s="434"/>
      <c r="AG42" s="134"/>
      <c r="AH42" s="481"/>
      <c r="AI42" s="482"/>
      <c r="AJ42" s="482"/>
      <c r="AK42" s="482"/>
      <c r="AL42" s="482"/>
      <c r="AM42" s="483"/>
      <c r="AN42" s="443"/>
      <c r="AO42" s="462"/>
      <c r="AP42" s="443"/>
      <c r="AQ42" s="443"/>
      <c r="AR42" s="443"/>
      <c r="AS42" s="443"/>
      <c r="AT42" s="443"/>
      <c r="AU42" s="443"/>
      <c r="AV42" s="443"/>
      <c r="AW42" s="443"/>
      <c r="AX42" s="443"/>
      <c r="AY42" s="443"/>
      <c r="AZ42" s="443"/>
      <c r="BA42" s="443"/>
      <c r="BB42" s="443"/>
      <c r="BC42" s="443"/>
      <c r="BD42" s="443"/>
      <c r="BE42" s="443"/>
      <c r="BF42" s="443"/>
      <c r="BG42" s="463"/>
      <c r="BH42" s="443"/>
    </row>
    <row r="43" spans="1:60" x14ac:dyDescent="0.25">
      <c r="A43"/>
      <c r="B43" s="457"/>
      <c r="C43" s="458" t="s">
        <v>717</v>
      </c>
      <c r="E43" s="410"/>
      <c r="F43" s="443"/>
      <c r="G43" s="464"/>
      <c r="H43" s="437"/>
      <c r="I43" s="437"/>
      <c r="J43" s="437"/>
      <c r="K43" s="437"/>
      <c r="L43" s="465"/>
      <c r="M43" s="443"/>
      <c r="N43" s="421"/>
      <c r="O43" s="426"/>
      <c r="P43" s="426"/>
      <c r="Q43" s="426"/>
      <c r="R43" s="426"/>
      <c r="S43" s="426"/>
      <c r="T43" s="440"/>
      <c r="U43" s="443"/>
      <c r="V43" s="421"/>
      <c r="W43" s="426"/>
      <c r="X43" s="426"/>
      <c r="Y43" s="426"/>
      <c r="Z43" s="426"/>
      <c r="AA43" s="426"/>
      <c r="AB43" s="426"/>
      <c r="AC43" s="426"/>
      <c r="AD43" s="426"/>
      <c r="AE43" s="426"/>
      <c r="AF43" s="440"/>
      <c r="AG43" s="134"/>
      <c r="AH43" s="484"/>
      <c r="AI43" s="485"/>
      <c r="AJ43" s="485"/>
      <c r="AK43" s="485"/>
      <c r="AL43" s="485"/>
      <c r="AM43" s="486"/>
      <c r="AN43" s="443"/>
      <c r="AO43" s="464"/>
      <c r="AP43" s="437"/>
      <c r="AQ43" s="437"/>
      <c r="AR43" s="437"/>
      <c r="AS43" s="437"/>
      <c r="AT43" s="437"/>
      <c r="AU43" s="437"/>
      <c r="AV43" s="437"/>
      <c r="AW43" s="437"/>
      <c r="AX43" s="437"/>
      <c r="AY43" s="437"/>
      <c r="AZ43" s="437"/>
      <c r="BA43" s="437"/>
      <c r="BB43" s="437"/>
      <c r="BC43" s="437"/>
      <c r="BD43" s="437"/>
      <c r="BE43" s="437"/>
      <c r="BF43" s="437"/>
      <c r="BG43" s="465"/>
      <c r="BH43" s="443"/>
    </row>
    <row r="44" spans="1:60" x14ac:dyDescent="0.25">
      <c r="A44"/>
      <c r="E44" s="443"/>
      <c r="F44" s="443"/>
      <c r="G44" s="443"/>
      <c r="H44" s="443"/>
      <c r="I44" s="443"/>
      <c r="J44" s="443"/>
      <c r="K44" s="443"/>
      <c r="L44" s="443"/>
      <c r="M44" s="443"/>
      <c r="N44" s="134"/>
      <c r="O44" s="134"/>
      <c r="P44" s="134"/>
      <c r="Q44" s="134"/>
      <c r="R44" s="134"/>
      <c r="S44" s="134"/>
      <c r="T44" s="134"/>
      <c r="U44" s="443"/>
      <c r="V44" s="134"/>
      <c r="W44" s="134"/>
      <c r="X44" s="134"/>
      <c r="Y44" s="134"/>
      <c r="Z44" s="134"/>
      <c r="AA44" s="134"/>
      <c r="AB44" s="134"/>
      <c r="AC44" s="134"/>
      <c r="AD44" s="134"/>
      <c r="AE44" s="134"/>
      <c r="AF44" s="134"/>
      <c r="AG44" s="134"/>
      <c r="AH44" s="482"/>
      <c r="AI44" s="482"/>
      <c r="AJ44" s="482"/>
      <c r="AK44" s="482"/>
      <c r="AL44" s="482"/>
      <c r="AM44" s="403"/>
      <c r="AN44" s="443"/>
      <c r="AO44" s="443"/>
      <c r="AP44" s="443"/>
      <c r="AQ44" s="443"/>
      <c r="AR44" s="443"/>
      <c r="AS44" s="443"/>
      <c r="AT44" s="443"/>
      <c r="AU44" s="443"/>
      <c r="AV44" s="443"/>
      <c r="AW44" s="443"/>
      <c r="AX44" s="443"/>
      <c r="AY44" s="443"/>
      <c r="AZ44" s="443"/>
      <c r="BA44" s="443"/>
      <c r="BB44" s="443"/>
      <c r="BC44" s="443"/>
      <c r="BD44" s="443"/>
      <c r="BE44" s="443"/>
      <c r="BF44" s="443"/>
      <c r="BG44" s="443"/>
      <c r="BH44" s="443"/>
    </row>
    <row r="45" spans="1:60" s="443" customFormat="1" x14ac:dyDescent="0.25">
      <c r="A45" s="134"/>
      <c r="B45" s="453" t="s">
        <v>724</v>
      </c>
      <c r="C45" s="454" t="s">
        <v>714</v>
      </c>
      <c r="E45" s="408" t="s">
        <v>767</v>
      </c>
      <c r="G45" s="470" t="s">
        <v>772</v>
      </c>
      <c r="H45" s="416"/>
      <c r="I45" s="416"/>
      <c r="J45" s="416"/>
      <c r="K45" s="416"/>
      <c r="L45" s="407"/>
      <c r="N45" s="470" t="s">
        <v>783</v>
      </c>
      <c r="O45" s="416"/>
      <c r="P45" s="416"/>
      <c r="Q45" s="416"/>
      <c r="R45" s="416"/>
      <c r="S45" s="416"/>
      <c r="T45" s="407"/>
      <c r="V45" s="470" t="s">
        <v>784</v>
      </c>
      <c r="W45" s="416"/>
      <c r="X45" s="416"/>
      <c r="Y45" s="416"/>
      <c r="Z45" s="416"/>
      <c r="AA45" s="416"/>
      <c r="AB45" s="416"/>
      <c r="AC45" s="416"/>
      <c r="AD45" s="416"/>
      <c r="AE45" s="416"/>
      <c r="AF45" s="407"/>
      <c r="AG45" s="134"/>
      <c r="AH45" s="478" t="s">
        <v>785</v>
      </c>
      <c r="AI45" s="479"/>
      <c r="AJ45" s="479"/>
      <c r="AK45" s="479"/>
      <c r="AL45" s="479"/>
      <c r="AM45" s="480"/>
      <c r="AO45" s="469" t="s">
        <v>786</v>
      </c>
      <c r="AP45" s="425"/>
      <c r="AQ45" s="425"/>
      <c r="AR45" s="425"/>
      <c r="AS45" s="425"/>
      <c r="AT45" s="425"/>
      <c r="AU45" s="425"/>
      <c r="AV45" s="425"/>
      <c r="AW45" s="425"/>
      <c r="AX45" s="425"/>
      <c r="AY45" s="425"/>
      <c r="AZ45" s="425"/>
      <c r="BA45" s="425"/>
      <c r="BB45" s="425"/>
      <c r="BC45" s="425"/>
      <c r="BD45" s="425"/>
      <c r="BE45" s="425"/>
      <c r="BF45" s="425"/>
      <c r="BG45" s="468"/>
    </row>
    <row r="46" spans="1:60" x14ac:dyDescent="0.25">
      <c r="A46"/>
      <c r="B46" s="455"/>
      <c r="C46" s="456" t="s">
        <v>715</v>
      </c>
      <c r="E46" s="424"/>
      <c r="F46" s="443"/>
      <c r="G46" s="462"/>
      <c r="H46" s="443"/>
      <c r="I46" s="443"/>
      <c r="J46" s="443"/>
      <c r="K46" s="443"/>
      <c r="L46" s="463"/>
      <c r="M46" s="443"/>
      <c r="N46" s="431"/>
      <c r="O46" s="134"/>
      <c r="P46" s="134"/>
      <c r="Q46" s="134"/>
      <c r="R46" s="134"/>
      <c r="S46" s="134"/>
      <c r="T46" s="434"/>
      <c r="U46" s="443"/>
      <c r="V46" s="431"/>
      <c r="W46" s="134"/>
      <c r="X46" s="134"/>
      <c r="Y46" s="134"/>
      <c r="Z46" s="134"/>
      <c r="AA46" s="134"/>
      <c r="AB46" s="134"/>
      <c r="AC46" s="134"/>
      <c r="AD46" s="134"/>
      <c r="AE46" s="134"/>
      <c r="AF46" s="434"/>
      <c r="AG46" s="134"/>
      <c r="AH46" s="481"/>
      <c r="AI46" s="482"/>
      <c r="AJ46" s="482"/>
      <c r="AK46" s="482"/>
      <c r="AL46" s="482"/>
      <c r="AM46" s="483"/>
      <c r="AN46" s="443"/>
      <c r="AO46" s="462"/>
      <c r="AP46" s="443"/>
      <c r="AQ46" s="443"/>
      <c r="AR46" s="443"/>
      <c r="AS46" s="443"/>
      <c r="AT46" s="443"/>
      <c r="AU46" s="443"/>
      <c r="AV46" s="443"/>
      <c r="AW46" s="443"/>
      <c r="AX46" s="443"/>
      <c r="AY46" s="443"/>
      <c r="AZ46" s="443"/>
      <c r="BA46" s="443"/>
      <c r="BB46" s="443"/>
      <c r="BC46" s="443"/>
      <c r="BD46" s="443"/>
      <c r="BE46" s="443"/>
      <c r="BF46" s="443"/>
      <c r="BG46" s="463"/>
      <c r="BH46" s="443"/>
    </row>
    <row r="47" spans="1:60" x14ac:dyDescent="0.25">
      <c r="A47"/>
      <c r="B47" s="455"/>
      <c r="C47" s="456" t="s">
        <v>716</v>
      </c>
      <c r="E47" s="424"/>
      <c r="F47" s="443"/>
      <c r="G47" s="462"/>
      <c r="H47" s="443"/>
      <c r="I47" s="443"/>
      <c r="J47" s="443"/>
      <c r="K47" s="443"/>
      <c r="L47" s="463"/>
      <c r="M47" s="443"/>
      <c r="N47" s="431"/>
      <c r="O47" s="134"/>
      <c r="P47" s="134"/>
      <c r="Q47" s="134"/>
      <c r="R47" s="134"/>
      <c r="S47" s="134"/>
      <c r="T47" s="434"/>
      <c r="U47" s="443"/>
      <c r="V47" s="431"/>
      <c r="W47" s="134"/>
      <c r="X47" s="134"/>
      <c r="Y47" s="134"/>
      <c r="Z47" s="134"/>
      <c r="AA47" s="134"/>
      <c r="AB47" s="134"/>
      <c r="AC47" s="134"/>
      <c r="AD47" s="134"/>
      <c r="AE47" s="134"/>
      <c r="AF47" s="434"/>
      <c r="AG47" s="134"/>
      <c r="AH47" s="481"/>
      <c r="AI47" s="482"/>
      <c r="AJ47" s="482"/>
      <c r="AK47" s="482"/>
      <c r="AL47" s="482"/>
      <c r="AM47" s="483"/>
      <c r="AN47" s="443"/>
      <c r="AO47" s="462"/>
      <c r="AP47" s="443"/>
      <c r="AQ47" s="443"/>
      <c r="AR47" s="443"/>
      <c r="AS47" s="443"/>
      <c r="AT47" s="443"/>
      <c r="AU47" s="443"/>
      <c r="AV47" s="443"/>
      <c r="AW47" s="443"/>
      <c r="AX47" s="443"/>
      <c r="AY47" s="443"/>
      <c r="AZ47" s="443"/>
      <c r="BA47" s="443"/>
      <c r="BB47" s="443"/>
      <c r="BC47" s="443"/>
      <c r="BD47" s="443"/>
      <c r="BE47" s="443"/>
      <c r="BF47" s="443"/>
      <c r="BG47" s="463"/>
      <c r="BH47" s="443"/>
    </row>
    <row r="48" spans="1:60" x14ac:dyDescent="0.25">
      <c r="A48"/>
      <c r="B48" s="455"/>
      <c r="C48" s="458" t="s">
        <v>717</v>
      </c>
      <c r="E48" s="424"/>
      <c r="F48" s="443"/>
      <c r="G48" s="462"/>
      <c r="H48" s="443"/>
      <c r="I48" s="443"/>
      <c r="J48" s="443"/>
      <c r="K48" s="443"/>
      <c r="L48" s="463"/>
      <c r="M48" s="443"/>
      <c r="N48" s="431"/>
      <c r="O48" s="134"/>
      <c r="P48" s="134"/>
      <c r="Q48" s="134"/>
      <c r="R48" s="134"/>
      <c r="S48" s="134"/>
      <c r="T48" s="434"/>
      <c r="U48" s="443"/>
      <c r="V48" s="431"/>
      <c r="W48" s="134"/>
      <c r="X48" s="134"/>
      <c r="Y48" s="134"/>
      <c r="Z48" s="134"/>
      <c r="AA48" s="134"/>
      <c r="AB48" s="134"/>
      <c r="AC48" s="134"/>
      <c r="AD48" s="134"/>
      <c r="AE48" s="134"/>
      <c r="AF48" s="434"/>
      <c r="AG48" s="134"/>
      <c r="AH48" s="481"/>
      <c r="AI48" s="482"/>
      <c r="AJ48" s="482"/>
      <c r="AK48" s="482"/>
      <c r="AL48" s="482"/>
      <c r="AM48" s="483"/>
      <c r="AN48" s="443"/>
      <c r="AO48" s="462"/>
      <c r="AP48" s="443"/>
      <c r="AQ48" s="443"/>
      <c r="AR48" s="443"/>
      <c r="AS48" s="443"/>
      <c r="AT48" s="443"/>
      <c r="AU48" s="443"/>
      <c r="AV48" s="443"/>
      <c r="AW48" s="443"/>
      <c r="AX48" s="443"/>
      <c r="AY48" s="443"/>
      <c r="AZ48" s="443"/>
      <c r="BA48" s="443"/>
      <c r="BB48" s="443"/>
      <c r="BC48" s="443"/>
      <c r="BD48" s="443"/>
      <c r="BE48" s="443"/>
      <c r="BF48" s="443"/>
      <c r="BG48" s="463"/>
      <c r="BH48" s="443"/>
    </row>
    <row r="49" spans="1:60" s="443" customFormat="1" x14ac:dyDescent="0.25">
      <c r="A49" s="134"/>
      <c r="B49" s="459" t="s">
        <v>725</v>
      </c>
      <c r="C49" s="454" t="s">
        <v>714</v>
      </c>
      <c r="E49" s="417"/>
      <c r="G49" s="470"/>
      <c r="H49" s="416"/>
      <c r="I49" s="416"/>
      <c r="J49" s="416"/>
      <c r="K49" s="416"/>
      <c r="L49" s="407"/>
      <c r="N49" s="470"/>
      <c r="O49" s="416"/>
      <c r="P49" s="416"/>
      <c r="Q49" s="416"/>
      <c r="R49" s="416"/>
      <c r="S49" s="416"/>
      <c r="T49" s="407"/>
      <c r="V49" s="470"/>
      <c r="W49" s="416"/>
      <c r="X49" s="416"/>
      <c r="Y49" s="416"/>
      <c r="Z49" s="416"/>
      <c r="AA49" s="416"/>
      <c r="AB49" s="416"/>
      <c r="AC49" s="416"/>
      <c r="AD49" s="416"/>
      <c r="AE49" s="416"/>
      <c r="AF49" s="407"/>
      <c r="AG49" s="134"/>
      <c r="AH49" s="478"/>
      <c r="AI49" s="479"/>
      <c r="AJ49" s="479"/>
      <c r="AK49" s="479"/>
      <c r="AL49" s="479"/>
      <c r="AM49" s="480"/>
      <c r="AO49" s="469"/>
      <c r="AP49" s="425"/>
      <c r="AQ49" s="425"/>
      <c r="AR49" s="425"/>
      <c r="AS49" s="425"/>
      <c r="AT49" s="425"/>
      <c r="AU49" s="425"/>
      <c r="AV49" s="425"/>
      <c r="AW49" s="425"/>
      <c r="AX49" s="425"/>
      <c r="AY49" s="425"/>
      <c r="AZ49" s="425"/>
      <c r="BA49" s="425"/>
      <c r="BB49" s="425"/>
      <c r="BC49" s="425"/>
      <c r="BD49" s="425"/>
      <c r="BE49" s="425"/>
      <c r="BF49" s="425"/>
      <c r="BG49" s="468"/>
    </row>
    <row r="50" spans="1:60" x14ac:dyDescent="0.25">
      <c r="A50"/>
      <c r="B50" s="455"/>
      <c r="C50" s="456" t="s">
        <v>715</v>
      </c>
      <c r="E50" s="415"/>
      <c r="F50" s="443"/>
      <c r="G50" s="431"/>
      <c r="H50" s="134"/>
      <c r="I50" s="134"/>
      <c r="J50" s="134"/>
      <c r="K50" s="134"/>
      <c r="L50" s="434"/>
      <c r="M50" s="443"/>
      <c r="N50" s="431"/>
      <c r="O50" s="134"/>
      <c r="P50" s="134"/>
      <c r="Q50" s="134"/>
      <c r="R50" s="134"/>
      <c r="S50" s="134"/>
      <c r="T50" s="434"/>
      <c r="U50" s="443"/>
      <c r="V50" s="431"/>
      <c r="W50" s="134"/>
      <c r="X50" s="134"/>
      <c r="Y50" s="134"/>
      <c r="Z50" s="134"/>
      <c r="AA50" s="134"/>
      <c r="AB50" s="134"/>
      <c r="AC50" s="134"/>
      <c r="AD50" s="134"/>
      <c r="AE50" s="134"/>
      <c r="AF50" s="434"/>
      <c r="AG50" s="134"/>
      <c r="AH50" s="481"/>
      <c r="AI50" s="482"/>
      <c r="AJ50" s="482"/>
      <c r="AK50" s="482"/>
      <c r="AL50" s="482"/>
      <c r="AM50" s="483"/>
      <c r="AN50" s="443"/>
      <c r="AO50" s="462"/>
      <c r="AP50" s="443"/>
      <c r="AQ50" s="443"/>
      <c r="AR50" s="443"/>
      <c r="AS50" s="443"/>
      <c r="AT50" s="443"/>
      <c r="AU50" s="443"/>
      <c r="AV50" s="443"/>
      <c r="AW50" s="443"/>
      <c r="AX50" s="443"/>
      <c r="AY50" s="443"/>
      <c r="AZ50" s="443"/>
      <c r="BA50" s="443"/>
      <c r="BB50" s="443"/>
      <c r="BC50" s="443"/>
      <c r="BD50" s="443"/>
      <c r="BE50" s="443"/>
      <c r="BF50" s="443"/>
      <c r="BG50" s="463"/>
      <c r="BH50" s="443"/>
    </row>
    <row r="51" spans="1:60" x14ac:dyDescent="0.25">
      <c r="A51"/>
      <c r="B51" s="455"/>
      <c r="C51" s="456" t="s">
        <v>716</v>
      </c>
      <c r="E51" s="415"/>
      <c r="F51" s="443"/>
      <c r="G51" s="431"/>
      <c r="H51" s="134"/>
      <c r="I51" s="134"/>
      <c r="J51" s="134"/>
      <c r="K51" s="134"/>
      <c r="L51" s="434"/>
      <c r="M51" s="443"/>
      <c r="N51" s="431"/>
      <c r="O51" s="134"/>
      <c r="P51" s="134"/>
      <c r="Q51" s="134"/>
      <c r="R51" s="134"/>
      <c r="S51" s="134"/>
      <c r="T51" s="434"/>
      <c r="U51" s="443"/>
      <c r="V51" s="431"/>
      <c r="W51" s="134"/>
      <c r="X51" s="134"/>
      <c r="Y51" s="134"/>
      <c r="Z51" s="134"/>
      <c r="AA51" s="134"/>
      <c r="AB51" s="134"/>
      <c r="AC51" s="134"/>
      <c r="AD51" s="134"/>
      <c r="AE51" s="134"/>
      <c r="AF51" s="434"/>
      <c r="AG51" s="134"/>
      <c r="AH51" s="481"/>
      <c r="AI51" s="482"/>
      <c r="AJ51" s="482"/>
      <c r="AK51" s="482"/>
      <c r="AL51" s="482"/>
      <c r="AM51" s="483"/>
      <c r="AN51" s="443"/>
      <c r="AO51" s="462"/>
      <c r="AP51" s="443"/>
      <c r="AQ51" s="443"/>
      <c r="AR51" s="443"/>
      <c r="AS51" s="443"/>
      <c r="AT51" s="443"/>
      <c r="AU51" s="443"/>
      <c r="AV51" s="443"/>
      <c r="AW51" s="443"/>
      <c r="AX51" s="443"/>
      <c r="AY51" s="443"/>
      <c r="AZ51" s="443"/>
      <c r="BA51" s="443"/>
      <c r="BB51" s="443"/>
      <c r="BC51" s="443"/>
      <c r="BD51" s="443"/>
      <c r="BE51" s="443"/>
      <c r="BF51" s="443"/>
      <c r="BG51" s="463"/>
      <c r="BH51" s="443"/>
    </row>
    <row r="52" spans="1:60" x14ac:dyDescent="0.25">
      <c r="A52"/>
      <c r="B52" s="457"/>
      <c r="C52" s="458" t="s">
        <v>717</v>
      </c>
      <c r="E52" s="406"/>
      <c r="F52" s="443"/>
      <c r="G52" s="421"/>
      <c r="H52" s="426"/>
      <c r="I52" s="426"/>
      <c r="J52" s="426"/>
      <c r="K52" s="426"/>
      <c r="L52" s="440"/>
      <c r="M52" s="443"/>
      <c r="N52" s="421"/>
      <c r="O52" s="426"/>
      <c r="P52" s="426"/>
      <c r="Q52" s="426"/>
      <c r="R52" s="426"/>
      <c r="S52" s="426"/>
      <c r="T52" s="440"/>
      <c r="U52" s="443"/>
      <c r="V52" s="421"/>
      <c r="W52" s="426"/>
      <c r="X52" s="426"/>
      <c r="Y52" s="426"/>
      <c r="Z52" s="426"/>
      <c r="AA52" s="426"/>
      <c r="AB52" s="426"/>
      <c r="AC52" s="426"/>
      <c r="AD52" s="426"/>
      <c r="AE52" s="426"/>
      <c r="AF52" s="440"/>
      <c r="AG52" s="134"/>
      <c r="AH52" s="484"/>
      <c r="AI52" s="485"/>
      <c r="AJ52" s="485"/>
      <c r="AK52" s="485"/>
      <c r="AL52" s="485"/>
      <c r="AM52" s="486"/>
      <c r="AN52" s="443"/>
      <c r="AO52" s="464"/>
      <c r="AP52" s="437"/>
      <c r="AQ52" s="437"/>
      <c r="AR52" s="437"/>
      <c r="AS52" s="437"/>
      <c r="AT52" s="437"/>
      <c r="AU52" s="437"/>
      <c r="AV52" s="437"/>
      <c r="AW52" s="437"/>
      <c r="AX52" s="437"/>
      <c r="AY52" s="437"/>
      <c r="AZ52" s="437"/>
      <c r="BA52" s="437"/>
      <c r="BB52" s="437"/>
      <c r="BC52" s="437"/>
      <c r="BD52" s="437"/>
      <c r="BE52" s="437"/>
      <c r="BF52" s="437"/>
      <c r="BG52" s="465"/>
      <c r="BH52" s="443"/>
    </row>
    <row r="53" spans="1:60" s="443" customFormat="1" x14ac:dyDescent="0.25">
      <c r="A53" s="134"/>
      <c r="B53" s="459" t="s">
        <v>726</v>
      </c>
      <c r="C53" s="454" t="s">
        <v>714</v>
      </c>
      <c r="E53" s="408"/>
      <c r="G53" s="469"/>
      <c r="H53" s="425"/>
      <c r="I53" s="425"/>
      <c r="J53" s="425"/>
      <c r="K53" s="425"/>
      <c r="L53" s="468"/>
      <c r="N53" s="469"/>
      <c r="O53" s="425"/>
      <c r="P53" s="425"/>
      <c r="Q53" s="425"/>
      <c r="R53" s="425"/>
      <c r="S53" s="425"/>
      <c r="T53" s="468"/>
      <c r="V53" s="469"/>
      <c r="W53" s="425"/>
      <c r="X53" s="425"/>
      <c r="Y53" s="425"/>
      <c r="Z53" s="425"/>
      <c r="AA53" s="425"/>
      <c r="AB53" s="425"/>
      <c r="AC53" s="425"/>
      <c r="AD53" s="425"/>
      <c r="AE53" s="425"/>
      <c r="AF53" s="407"/>
      <c r="AG53" s="134"/>
      <c r="AH53" s="478"/>
      <c r="AI53" s="479"/>
      <c r="AJ53" s="479"/>
      <c r="AK53" s="479"/>
      <c r="AL53" s="479"/>
      <c r="AM53" s="480"/>
      <c r="AO53" s="469"/>
      <c r="AP53" s="425"/>
      <c r="AQ53" s="425"/>
      <c r="AR53" s="425"/>
      <c r="AS53" s="425"/>
      <c r="AT53" s="425"/>
      <c r="AU53" s="425"/>
      <c r="AV53" s="425"/>
      <c r="AW53" s="425"/>
      <c r="AX53" s="425"/>
      <c r="AY53" s="425"/>
      <c r="AZ53" s="425"/>
      <c r="BA53" s="425"/>
      <c r="BB53" s="425"/>
      <c r="BC53" s="425"/>
      <c r="BD53" s="425"/>
      <c r="BE53" s="425"/>
      <c r="BF53" s="425"/>
      <c r="BG53" s="468"/>
    </row>
    <row r="54" spans="1:60" x14ac:dyDescent="0.25">
      <c r="A54"/>
      <c r="B54" s="455"/>
      <c r="C54" s="456" t="s">
        <v>715</v>
      </c>
      <c r="E54" s="424"/>
      <c r="F54" s="443"/>
      <c r="G54" s="462"/>
      <c r="H54" s="443"/>
      <c r="I54" s="443"/>
      <c r="J54" s="443"/>
      <c r="K54" s="443"/>
      <c r="L54" s="463"/>
      <c r="M54" s="443"/>
      <c r="N54" s="462"/>
      <c r="O54" s="443"/>
      <c r="P54" s="443"/>
      <c r="Q54" s="443"/>
      <c r="R54" s="443"/>
      <c r="S54" s="443"/>
      <c r="T54" s="463"/>
      <c r="U54" s="443"/>
      <c r="V54" s="462"/>
      <c r="W54" s="443"/>
      <c r="X54" s="443"/>
      <c r="Y54" s="443"/>
      <c r="Z54" s="443"/>
      <c r="AA54" s="443"/>
      <c r="AB54" s="443"/>
      <c r="AC54" s="443"/>
      <c r="AD54" s="443"/>
      <c r="AE54" s="443"/>
      <c r="AF54" s="434"/>
      <c r="AG54" s="134"/>
      <c r="AH54" s="481"/>
      <c r="AI54" s="482"/>
      <c r="AJ54" s="482"/>
      <c r="AK54" s="482"/>
      <c r="AL54" s="482"/>
      <c r="AM54" s="483"/>
      <c r="AN54" s="443"/>
      <c r="AO54" s="462"/>
      <c r="AP54" s="443"/>
      <c r="AQ54" s="443"/>
      <c r="AR54" s="443"/>
      <c r="AS54" s="443"/>
      <c r="AT54" s="443"/>
      <c r="AU54" s="443"/>
      <c r="AV54" s="443"/>
      <c r="AW54" s="443"/>
      <c r="AX54" s="443"/>
      <c r="AY54" s="443"/>
      <c r="AZ54" s="443"/>
      <c r="BA54" s="443"/>
      <c r="BB54" s="443"/>
      <c r="BC54" s="443"/>
      <c r="BD54" s="443"/>
      <c r="BE54" s="443"/>
      <c r="BF54" s="443"/>
      <c r="BG54" s="463"/>
      <c r="BH54" s="443"/>
    </row>
    <row r="55" spans="1:60" x14ac:dyDescent="0.25">
      <c r="A55"/>
      <c r="B55" s="455"/>
      <c r="C55" s="456" t="s">
        <v>716</v>
      </c>
      <c r="E55" s="424"/>
      <c r="F55" s="443"/>
      <c r="G55" s="462"/>
      <c r="H55" s="443"/>
      <c r="I55" s="443"/>
      <c r="J55" s="443"/>
      <c r="K55" s="443"/>
      <c r="L55" s="463"/>
      <c r="M55" s="443"/>
      <c r="N55" s="462"/>
      <c r="O55" s="443"/>
      <c r="P55" s="443"/>
      <c r="Q55" s="443"/>
      <c r="R55" s="443"/>
      <c r="S55" s="443"/>
      <c r="T55" s="463"/>
      <c r="U55" s="443"/>
      <c r="V55" s="462"/>
      <c r="W55" s="443"/>
      <c r="X55" s="443"/>
      <c r="Y55" s="443"/>
      <c r="Z55" s="443"/>
      <c r="AA55" s="443"/>
      <c r="AB55" s="443"/>
      <c r="AC55" s="443"/>
      <c r="AD55" s="443"/>
      <c r="AE55" s="443"/>
      <c r="AF55" s="434"/>
      <c r="AG55" s="134"/>
      <c r="AH55" s="481"/>
      <c r="AI55" s="482"/>
      <c r="AJ55" s="482"/>
      <c r="AK55" s="482"/>
      <c r="AL55" s="482"/>
      <c r="AM55" s="483"/>
      <c r="AN55" s="443"/>
      <c r="AO55" s="462"/>
      <c r="AP55" s="443"/>
      <c r="AQ55" s="443"/>
      <c r="AR55" s="443"/>
      <c r="AS55" s="443"/>
      <c r="AT55" s="443"/>
      <c r="AU55" s="443"/>
      <c r="AV55" s="443"/>
      <c r="AW55" s="443"/>
      <c r="AX55" s="443"/>
      <c r="AY55" s="443"/>
      <c r="AZ55" s="443"/>
      <c r="BA55" s="443"/>
      <c r="BB55" s="443"/>
      <c r="BC55" s="443"/>
      <c r="BD55" s="443"/>
      <c r="BE55" s="443"/>
      <c r="BF55" s="443"/>
      <c r="BG55" s="463"/>
      <c r="BH55" s="443"/>
    </row>
    <row r="56" spans="1:60" x14ac:dyDescent="0.25">
      <c r="A56"/>
      <c r="B56" s="457"/>
      <c r="C56" s="458" t="s">
        <v>717</v>
      </c>
      <c r="E56" s="410"/>
      <c r="F56" s="443"/>
      <c r="G56" s="464"/>
      <c r="H56" s="437"/>
      <c r="I56" s="437"/>
      <c r="J56" s="437"/>
      <c r="K56" s="437"/>
      <c r="L56" s="465"/>
      <c r="M56" s="443"/>
      <c r="N56" s="464"/>
      <c r="O56" s="437"/>
      <c r="P56" s="437"/>
      <c r="Q56" s="437"/>
      <c r="R56" s="437"/>
      <c r="S56" s="437"/>
      <c r="T56" s="465"/>
      <c r="U56" s="443"/>
      <c r="V56" s="464"/>
      <c r="W56" s="437"/>
      <c r="X56" s="437"/>
      <c r="Y56" s="437"/>
      <c r="Z56" s="437"/>
      <c r="AA56" s="437"/>
      <c r="AB56" s="437"/>
      <c r="AC56" s="437"/>
      <c r="AD56" s="437"/>
      <c r="AE56" s="437"/>
      <c r="AF56" s="440"/>
      <c r="AG56" s="134"/>
      <c r="AH56" s="484"/>
      <c r="AI56" s="485"/>
      <c r="AJ56" s="485"/>
      <c r="AK56" s="485"/>
      <c r="AL56" s="485"/>
      <c r="AM56" s="486"/>
      <c r="AN56" s="443"/>
      <c r="AO56" s="464"/>
      <c r="AP56" s="437"/>
      <c r="AQ56" s="437"/>
      <c r="AR56" s="437"/>
      <c r="AS56" s="437"/>
      <c r="AT56" s="437"/>
      <c r="AU56" s="437"/>
      <c r="AV56" s="437"/>
      <c r="AW56" s="437"/>
      <c r="AX56" s="437"/>
      <c r="AY56" s="437"/>
      <c r="AZ56" s="437"/>
      <c r="BA56" s="437"/>
      <c r="BB56" s="437"/>
      <c r="BC56" s="437"/>
      <c r="BD56" s="437"/>
      <c r="BE56" s="437"/>
      <c r="BF56" s="437"/>
      <c r="BG56" s="465"/>
      <c r="BH56" s="443"/>
    </row>
    <row r="57" spans="1:60" s="443" customFormat="1" x14ac:dyDescent="0.25">
      <c r="A57" s="134"/>
      <c r="B57" s="459" t="s">
        <v>727</v>
      </c>
      <c r="C57" s="454" t="s">
        <v>714</v>
      </c>
      <c r="E57" s="408"/>
      <c r="G57" s="469"/>
      <c r="H57" s="425"/>
      <c r="I57" s="425"/>
      <c r="J57" s="425"/>
      <c r="K57" s="425"/>
      <c r="L57" s="468"/>
      <c r="N57" s="469"/>
      <c r="O57" s="425"/>
      <c r="P57" s="425"/>
      <c r="Q57" s="425"/>
      <c r="R57" s="425"/>
      <c r="S57" s="425"/>
      <c r="T57" s="468"/>
      <c r="V57" s="469"/>
      <c r="W57" s="425"/>
      <c r="X57" s="425"/>
      <c r="Y57" s="425"/>
      <c r="Z57" s="425"/>
      <c r="AA57" s="425"/>
      <c r="AB57" s="425"/>
      <c r="AC57" s="425"/>
      <c r="AD57" s="425"/>
      <c r="AE57" s="425"/>
      <c r="AF57" s="407"/>
      <c r="AG57" s="134"/>
      <c r="AH57" s="478"/>
      <c r="AI57" s="479"/>
      <c r="AJ57" s="479"/>
      <c r="AK57" s="479"/>
      <c r="AL57" s="479"/>
      <c r="AM57" s="480"/>
      <c r="AO57" s="469"/>
      <c r="AP57" s="425"/>
      <c r="AQ57" s="425"/>
      <c r="AR57" s="425"/>
      <c r="AS57" s="425"/>
      <c r="AT57" s="425"/>
      <c r="AU57" s="425"/>
      <c r="AV57" s="425"/>
      <c r="AW57" s="425"/>
      <c r="AX57" s="425"/>
      <c r="AY57" s="425"/>
      <c r="AZ57" s="425"/>
      <c r="BA57" s="425"/>
      <c r="BB57" s="425"/>
      <c r="BC57" s="425"/>
      <c r="BD57" s="425"/>
      <c r="BE57" s="425"/>
      <c r="BF57" s="425"/>
      <c r="BG57" s="468"/>
    </row>
    <row r="58" spans="1:60" x14ac:dyDescent="0.25">
      <c r="A58"/>
      <c r="B58" s="455"/>
      <c r="C58" s="456" t="s">
        <v>715</v>
      </c>
      <c r="E58" s="424"/>
      <c r="F58" s="443"/>
      <c r="G58" s="462"/>
      <c r="H58" s="443"/>
      <c r="I58" s="443"/>
      <c r="J58" s="443"/>
      <c r="K58" s="443"/>
      <c r="L58" s="463"/>
      <c r="M58" s="443"/>
      <c r="N58" s="462"/>
      <c r="O58" s="443"/>
      <c r="P58" s="443"/>
      <c r="Q58" s="443"/>
      <c r="R58" s="443"/>
      <c r="S58" s="443"/>
      <c r="T58" s="463"/>
      <c r="U58" s="443"/>
      <c r="V58" s="462"/>
      <c r="W58" s="443"/>
      <c r="X58" s="443"/>
      <c r="Y58" s="443"/>
      <c r="Z58" s="443"/>
      <c r="AA58" s="443"/>
      <c r="AB58" s="443"/>
      <c r="AC58" s="443"/>
      <c r="AD58" s="443"/>
      <c r="AE58" s="443"/>
      <c r="AF58" s="434"/>
      <c r="AG58" s="134"/>
      <c r="AH58" s="481"/>
      <c r="AI58" s="482"/>
      <c r="AJ58" s="482"/>
      <c r="AK58" s="482"/>
      <c r="AL58" s="482"/>
      <c r="AM58" s="483"/>
      <c r="AN58" s="443"/>
      <c r="AO58" s="462"/>
      <c r="AP58" s="443"/>
      <c r="AQ58" s="443"/>
      <c r="AR58" s="443"/>
      <c r="AS58" s="443"/>
      <c r="AT58" s="443"/>
      <c r="AU58" s="443"/>
      <c r="AV58" s="443"/>
      <c r="AW58" s="443"/>
      <c r="AX58" s="443"/>
      <c r="AY58" s="443"/>
      <c r="AZ58" s="443"/>
      <c r="BA58" s="443"/>
      <c r="BB58" s="443"/>
      <c r="BC58" s="443"/>
      <c r="BD58" s="443"/>
      <c r="BE58" s="443"/>
      <c r="BF58" s="443"/>
      <c r="BG58" s="463"/>
      <c r="BH58" s="443"/>
    </row>
    <row r="59" spans="1:60" x14ac:dyDescent="0.25">
      <c r="A59"/>
      <c r="B59" s="455"/>
      <c r="C59" s="456" t="s">
        <v>716</v>
      </c>
      <c r="E59" s="424"/>
      <c r="F59" s="443"/>
      <c r="G59" s="462"/>
      <c r="H59" s="443"/>
      <c r="I59" s="443"/>
      <c r="J59" s="443"/>
      <c r="K59" s="443"/>
      <c r="L59" s="463"/>
      <c r="M59" s="443"/>
      <c r="N59" s="462"/>
      <c r="O59" s="443"/>
      <c r="P59" s="443"/>
      <c r="Q59" s="443"/>
      <c r="R59" s="443"/>
      <c r="S59" s="443"/>
      <c r="T59" s="463"/>
      <c r="U59" s="443"/>
      <c r="V59" s="462"/>
      <c r="W59" s="443"/>
      <c r="X59" s="443"/>
      <c r="Y59" s="443"/>
      <c r="Z59" s="443"/>
      <c r="AA59" s="443"/>
      <c r="AB59" s="443"/>
      <c r="AC59" s="443"/>
      <c r="AD59" s="443"/>
      <c r="AE59" s="443"/>
      <c r="AF59" s="434"/>
      <c r="AG59" s="134"/>
      <c r="AH59" s="481"/>
      <c r="AI59" s="482"/>
      <c r="AJ59" s="482"/>
      <c r="AK59" s="482"/>
      <c r="AL59" s="482"/>
      <c r="AM59" s="483"/>
      <c r="AN59" s="443"/>
      <c r="AO59" s="462"/>
      <c r="AP59" s="443"/>
      <c r="AQ59" s="443"/>
      <c r="AR59" s="443"/>
      <c r="AS59" s="443"/>
      <c r="AT59" s="443"/>
      <c r="AU59" s="443"/>
      <c r="AV59" s="443"/>
      <c r="AW59" s="443"/>
      <c r="AX59" s="443"/>
      <c r="AY59" s="443"/>
      <c r="AZ59" s="443"/>
      <c r="BA59" s="443"/>
      <c r="BB59" s="443"/>
      <c r="BC59" s="443"/>
      <c r="BD59" s="443"/>
      <c r="BE59" s="443"/>
      <c r="BF59" s="443"/>
      <c r="BG59" s="463"/>
      <c r="BH59" s="443"/>
    </row>
    <row r="60" spans="1:60" x14ac:dyDescent="0.25">
      <c r="A60"/>
      <c r="B60" s="457"/>
      <c r="C60" s="458" t="s">
        <v>717</v>
      </c>
      <c r="E60" s="410"/>
      <c r="F60" s="443"/>
      <c r="G60" s="464"/>
      <c r="H60" s="437"/>
      <c r="I60" s="437"/>
      <c r="J60" s="437"/>
      <c r="K60" s="437"/>
      <c r="L60" s="465"/>
      <c r="M60" s="443"/>
      <c r="N60" s="464"/>
      <c r="O60" s="437"/>
      <c r="P60" s="437"/>
      <c r="Q60" s="437"/>
      <c r="R60" s="437"/>
      <c r="S60" s="437"/>
      <c r="T60" s="465"/>
      <c r="U60" s="443"/>
      <c r="V60" s="464"/>
      <c r="W60" s="437"/>
      <c r="X60" s="437"/>
      <c r="Y60" s="437"/>
      <c r="Z60" s="437"/>
      <c r="AA60" s="437"/>
      <c r="AB60" s="437"/>
      <c r="AC60" s="437"/>
      <c r="AD60" s="437"/>
      <c r="AE60" s="437"/>
      <c r="AF60" s="440"/>
      <c r="AG60" s="134"/>
      <c r="AH60" s="484"/>
      <c r="AI60" s="485"/>
      <c r="AJ60" s="485"/>
      <c r="AK60" s="485"/>
      <c r="AL60" s="485"/>
      <c r="AM60" s="486"/>
      <c r="AN60" s="443"/>
      <c r="AO60" s="464"/>
      <c r="AP60" s="437"/>
      <c r="AQ60" s="437"/>
      <c r="AR60" s="437"/>
      <c r="AS60" s="437"/>
      <c r="AT60" s="437"/>
      <c r="AU60" s="437"/>
      <c r="AV60" s="437"/>
      <c r="AW60" s="437"/>
      <c r="AX60" s="437"/>
      <c r="AY60" s="437"/>
      <c r="AZ60" s="437"/>
      <c r="BA60" s="437"/>
      <c r="BB60" s="437"/>
      <c r="BC60" s="437"/>
      <c r="BD60" s="437"/>
      <c r="BE60" s="437"/>
      <c r="BF60" s="437"/>
      <c r="BG60" s="465"/>
      <c r="BH60" s="443"/>
    </row>
    <row r="61" spans="1:60" s="443" customFormat="1" x14ac:dyDescent="0.25">
      <c r="A61" s="134"/>
      <c r="B61" s="459" t="s">
        <v>728</v>
      </c>
      <c r="C61" s="454" t="s">
        <v>714</v>
      </c>
      <c r="E61" s="408"/>
      <c r="G61" s="469"/>
      <c r="H61" s="425"/>
      <c r="I61" s="425"/>
      <c r="J61" s="425"/>
      <c r="K61" s="425"/>
      <c r="L61" s="468"/>
      <c r="N61" s="469"/>
      <c r="O61" s="425"/>
      <c r="P61" s="425"/>
      <c r="Q61" s="425"/>
      <c r="R61" s="425"/>
      <c r="S61" s="425"/>
      <c r="T61" s="468"/>
      <c r="V61" s="469"/>
      <c r="W61" s="425"/>
      <c r="X61" s="425"/>
      <c r="Y61" s="425"/>
      <c r="Z61" s="425"/>
      <c r="AA61" s="425"/>
      <c r="AB61" s="425"/>
      <c r="AC61" s="425"/>
      <c r="AD61" s="425"/>
      <c r="AE61" s="425"/>
      <c r="AF61" s="407"/>
      <c r="AG61" s="134"/>
      <c r="AH61" s="478"/>
      <c r="AI61" s="479"/>
      <c r="AJ61" s="479"/>
      <c r="AK61" s="479"/>
      <c r="AL61" s="479"/>
      <c r="AM61" s="480"/>
      <c r="AO61" s="469"/>
      <c r="AP61" s="425"/>
      <c r="AQ61" s="425"/>
      <c r="AR61" s="425"/>
      <c r="AS61" s="425"/>
      <c r="AT61" s="425"/>
      <c r="AU61" s="425"/>
      <c r="AV61" s="425"/>
      <c r="AW61" s="425"/>
      <c r="AX61" s="425"/>
      <c r="AY61" s="425"/>
      <c r="AZ61" s="425"/>
      <c r="BA61" s="425"/>
      <c r="BB61" s="425"/>
      <c r="BC61" s="425"/>
      <c r="BD61" s="425"/>
      <c r="BE61" s="425"/>
      <c r="BF61" s="425"/>
      <c r="BG61" s="468"/>
    </row>
    <row r="62" spans="1:60" x14ac:dyDescent="0.25">
      <c r="A62"/>
      <c r="B62" s="455"/>
      <c r="C62" s="456" t="s">
        <v>715</v>
      </c>
      <c r="E62" s="424"/>
      <c r="F62" s="443"/>
      <c r="G62" s="462"/>
      <c r="H62" s="443"/>
      <c r="I62" s="443"/>
      <c r="J62" s="443"/>
      <c r="K62" s="443"/>
      <c r="L62" s="463"/>
      <c r="M62" s="443"/>
      <c r="N62" s="462"/>
      <c r="O62" s="443"/>
      <c r="P62" s="443"/>
      <c r="Q62" s="443"/>
      <c r="R62" s="443"/>
      <c r="S62" s="443"/>
      <c r="T62" s="463"/>
      <c r="U62" s="443"/>
      <c r="V62" s="462"/>
      <c r="W62" s="443"/>
      <c r="X62" s="443"/>
      <c r="Y62" s="443"/>
      <c r="Z62" s="443"/>
      <c r="AA62" s="443"/>
      <c r="AB62" s="443"/>
      <c r="AC62" s="443"/>
      <c r="AD62" s="443"/>
      <c r="AE62" s="443"/>
      <c r="AF62" s="434"/>
      <c r="AG62" s="134"/>
      <c r="AH62" s="481"/>
      <c r="AI62" s="482"/>
      <c r="AJ62" s="482"/>
      <c r="AK62" s="482"/>
      <c r="AL62" s="482"/>
      <c r="AM62" s="483"/>
      <c r="AN62" s="443"/>
      <c r="AO62" s="462"/>
      <c r="AP62" s="443"/>
      <c r="AQ62" s="443"/>
      <c r="AR62" s="443"/>
      <c r="AS62" s="443"/>
      <c r="AT62" s="443"/>
      <c r="AU62" s="443"/>
      <c r="AV62" s="443"/>
      <c r="AW62" s="443"/>
      <c r="AX62" s="443"/>
      <c r="AY62" s="443"/>
      <c r="AZ62" s="443"/>
      <c r="BA62" s="443"/>
      <c r="BB62" s="443"/>
      <c r="BC62" s="443"/>
      <c r="BD62" s="443"/>
      <c r="BE62" s="443"/>
      <c r="BF62" s="443"/>
      <c r="BG62" s="463"/>
      <c r="BH62" s="443"/>
    </row>
    <row r="63" spans="1:60" x14ac:dyDescent="0.25">
      <c r="A63"/>
      <c r="B63" s="455"/>
      <c r="C63" s="456" t="s">
        <v>716</v>
      </c>
      <c r="E63" s="424"/>
      <c r="F63" s="443"/>
      <c r="G63" s="462"/>
      <c r="H63" s="443"/>
      <c r="I63" s="443"/>
      <c r="J63" s="443"/>
      <c r="K63" s="443"/>
      <c r="L63" s="463"/>
      <c r="M63" s="443"/>
      <c r="N63" s="462"/>
      <c r="O63" s="443"/>
      <c r="P63" s="443"/>
      <c r="Q63" s="443"/>
      <c r="R63" s="443"/>
      <c r="S63" s="443"/>
      <c r="T63" s="463"/>
      <c r="U63" s="443"/>
      <c r="V63" s="462"/>
      <c r="W63" s="443"/>
      <c r="X63" s="443"/>
      <c r="Y63" s="443"/>
      <c r="Z63" s="443"/>
      <c r="AA63" s="443"/>
      <c r="AB63" s="443"/>
      <c r="AC63" s="443"/>
      <c r="AD63" s="443"/>
      <c r="AE63" s="443"/>
      <c r="AF63" s="434"/>
      <c r="AG63" s="134"/>
      <c r="AH63" s="481"/>
      <c r="AI63" s="482"/>
      <c r="AJ63" s="482"/>
      <c r="AK63" s="482"/>
      <c r="AL63" s="482"/>
      <c r="AM63" s="483"/>
      <c r="AN63" s="443"/>
      <c r="AO63" s="462"/>
      <c r="AP63" s="443"/>
      <c r="AQ63" s="443"/>
      <c r="AR63" s="443"/>
      <c r="AS63" s="443"/>
      <c r="AT63" s="443"/>
      <c r="AU63" s="443"/>
      <c r="AV63" s="443"/>
      <c r="AW63" s="443"/>
      <c r="AX63" s="443"/>
      <c r="AY63" s="443"/>
      <c r="AZ63" s="443"/>
      <c r="BA63" s="443"/>
      <c r="BB63" s="443"/>
      <c r="BC63" s="443"/>
      <c r="BD63" s="443"/>
      <c r="BE63" s="443"/>
      <c r="BF63" s="443"/>
      <c r="BG63" s="463"/>
      <c r="BH63" s="443"/>
    </row>
    <row r="64" spans="1:60" x14ac:dyDescent="0.25">
      <c r="A64"/>
      <c r="B64" s="457"/>
      <c r="C64" s="458" t="s">
        <v>717</v>
      </c>
      <c r="E64" s="410"/>
      <c r="F64" s="443"/>
      <c r="G64" s="464"/>
      <c r="H64" s="437"/>
      <c r="I64" s="437"/>
      <c r="J64" s="437"/>
      <c r="K64" s="437"/>
      <c r="L64" s="465"/>
      <c r="M64" s="443"/>
      <c r="N64" s="464"/>
      <c r="O64" s="437"/>
      <c r="P64" s="437"/>
      <c r="Q64" s="437"/>
      <c r="R64" s="437"/>
      <c r="S64" s="437"/>
      <c r="T64" s="465"/>
      <c r="U64" s="443"/>
      <c r="V64" s="464"/>
      <c r="W64" s="437"/>
      <c r="X64" s="437"/>
      <c r="Y64" s="437"/>
      <c r="Z64" s="437"/>
      <c r="AA64" s="437"/>
      <c r="AB64" s="437"/>
      <c r="AC64" s="437"/>
      <c r="AD64" s="437"/>
      <c r="AE64" s="437"/>
      <c r="AF64" s="440"/>
      <c r="AG64" s="134"/>
      <c r="AH64" s="484"/>
      <c r="AI64" s="485"/>
      <c r="AJ64" s="485"/>
      <c r="AK64" s="485"/>
      <c r="AL64" s="485"/>
      <c r="AM64" s="486"/>
      <c r="AN64" s="443"/>
      <c r="AO64" s="464"/>
      <c r="AP64" s="437"/>
      <c r="AQ64" s="437"/>
      <c r="AR64" s="437"/>
      <c r="AS64" s="437"/>
      <c r="AT64" s="437"/>
      <c r="AU64" s="437"/>
      <c r="AV64" s="437"/>
      <c r="AW64" s="437"/>
      <c r="AX64" s="437"/>
      <c r="AY64" s="437"/>
      <c r="AZ64" s="437"/>
      <c r="BA64" s="437"/>
      <c r="BB64" s="437"/>
      <c r="BC64" s="437"/>
      <c r="BD64" s="437"/>
      <c r="BE64" s="437"/>
      <c r="BF64" s="437"/>
      <c r="BG64" s="465"/>
      <c r="BH64" s="443"/>
    </row>
    <row r="65" spans="1:60" s="443" customFormat="1" x14ac:dyDescent="0.25">
      <c r="A65" s="134"/>
      <c r="B65" s="455" t="s">
        <v>729</v>
      </c>
      <c r="C65" s="454" t="s">
        <v>714</v>
      </c>
      <c r="E65" s="424"/>
      <c r="G65" s="462"/>
      <c r="L65" s="463"/>
      <c r="N65" s="462"/>
      <c r="T65" s="463"/>
      <c r="V65" s="462"/>
      <c r="AF65" s="434"/>
      <c r="AG65" s="134"/>
      <c r="AH65" s="481"/>
      <c r="AI65" s="482"/>
      <c r="AJ65" s="482"/>
      <c r="AK65" s="482"/>
      <c r="AL65" s="482"/>
      <c r="AM65" s="483"/>
      <c r="AO65" s="462"/>
      <c r="BG65" s="463"/>
    </row>
    <row r="66" spans="1:60" x14ac:dyDescent="0.25">
      <c r="A66"/>
      <c r="B66" s="455"/>
      <c r="C66" s="456" t="s">
        <v>715</v>
      </c>
      <c r="E66" s="424"/>
      <c r="F66" s="443"/>
      <c r="G66" s="462"/>
      <c r="H66" s="443"/>
      <c r="I66" s="443"/>
      <c r="J66" s="443"/>
      <c r="K66" s="443"/>
      <c r="L66" s="463"/>
      <c r="M66" s="443"/>
      <c r="N66" s="462"/>
      <c r="O66" s="443"/>
      <c r="P66" s="443"/>
      <c r="Q66" s="443"/>
      <c r="R66" s="443"/>
      <c r="S66" s="443"/>
      <c r="T66" s="463"/>
      <c r="U66" s="443"/>
      <c r="V66" s="462"/>
      <c r="W66" s="443"/>
      <c r="X66" s="443"/>
      <c r="Y66" s="443"/>
      <c r="Z66" s="443"/>
      <c r="AA66" s="443"/>
      <c r="AB66" s="443"/>
      <c r="AC66" s="443"/>
      <c r="AD66" s="443"/>
      <c r="AE66" s="443"/>
      <c r="AF66" s="434"/>
      <c r="AG66" s="134"/>
      <c r="AH66" s="481"/>
      <c r="AI66" s="482"/>
      <c r="AJ66" s="482"/>
      <c r="AK66" s="482"/>
      <c r="AL66" s="482"/>
      <c r="AM66" s="483"/>
      <c r="AN66" s="443"/>
      <c r="AO66" s="462"/>
      <c r="AP66" s="443"/>
      <c r="AQ66" s="443"/>
      <c r="AR66" s="443"/>
      <c r="AS66" s="443"/>
      <c r="AT66" s="443"/>
      <c r="AU66" s="443"/>
      <c r="AV66" s="443"/>
      <c r="AW66" s="443"/>
      <c r="AX66" s="443"/>
      <c r="AY66" s="443"/>
      <c r="AZ66" s="443"/>
      <c r="BA66" s="443"/>
      <c r="BB66" s="443"/>
      <c r="BC66" s="443"/>
      <c r="BD66" s="443"/>
      <c r="BE66" s="443"/>
      <c r="BF66" s="443"/>
      <c r="BG66" s="463"/>
      <c r="BH66" s="443"/>
    </row>
    <row r="67" spans="1:60" x14ac:dyDescent="0.25">
      <c r="A67"/>
      <c r="B67" s="455"/>
      <c r="C67" s="456" t="s">
        <v>716</v>
      </c>
      <c r="E67" s="424"/>
      <c r="F67" s="443"/>
      <c r="G67" s="462"/>
      <c r="H67" s="443"/>
      <c r="I67" s="443"/>
      <c r="J67" s="443"/>
      <c r="K67" s="443"/>
      <c r="L67" s="463"/>
      <c r="M67" s="443"/>
      <c r="N67" s="462"/>
      <c r="O67" s="443"/>
      <c r="P67" s="443"/>
      <c r="Q67" s="443"/>
      <c r="R67" s="443"/>
      <c r="S67" s="443"/>
      <c r="T67" s="463"/>
      <c r="U67" s="443"/>
      <c r="V67" s="462"/>
      <c r="W67" s="443"/>
      <c r="X67" s="443"/>
      <c r="Y67" s="443"/>
      <c r="Z67" s="443"/>
      <c r="AA67" s="443"/>
      <c r="AB67" s="443"/>
      <c r="AC67" s="443"/>
      <c r="AD67" s="443"/>
      <c r="AE67" s="443"/>
      <c r="AF67" s="434"/>
      <c r="AG67" s="134"/>
      <c r="AH67" s="481"/>
      <c r="AI67" s="482"/>
      <c r="AJ67" s="482"/>
      <c r="AK67" s="482"/>
      <c r="AL67" s="482"/>
      <c r="AM67" s="483"/>
      <c r="AN67" s="443"/>
      <c r="AO67" s="462"/>
      <c r="AP67" s="443"/>
      <c r="AQ67" s="443"/>
      <c r="AR67" s="443"/>
      <c r="AS67" s="443"/>
      <c r="AT67" s="443"/>
      <c r="AU67" s="443"/>
      <c r="AV67" s="443"/>
      <c r="AW67" s="443"/>
      <c r="AX67" s="443"/>
      <c r="AY67" s="443"/>
      <c r="AZ67" s="443"/>
      <c r="BA67" s="443"/>
      <c r="BB67" s="443"/>
      <c r="BC67" s="443"/>
      <c r="BD67" s="443"/>
      <c r="BE67" s="443"/>
      <c r="BF67" s="443"/>
      <c r="BG67" s="463"/>
      <c r="BH67" s="443"/>
    </row>
    <row r="68" spans="1:60" x14ac:dyDescent="0.25">
      <c r="A68"/>
      <c r="B68" s="455"/>
      <c r="C68" s="458" t="s">
        <v>717</v>
      </c>
      <c r="E68" s="410"/>
      <c r="F68" s="443"/>
      <c r="G68" s="464"/>
      <c r="H68" s="437"/>
      <c r="I68" s="437"/>
      <c r="J68" s="437"/>
      <c r="K68" s="437"/>
      <c r="L68" s="465"/>
      <c r="M68" s="443"/>
      <c r="N68" s="464"/>
      <c r="O68" s="437"/>
      <c r="P68" s="437"/>
      <c r="Q68" s="437"/>
      <c r="R68" s="437"/>
      <c r="S68" s="437"/>
      <c r="T68" s="465"/>
      <c r="U68" s="443"/>
      <c r="V68" s="464"/>
      <c r="W68" s="437"/>
      <c r="X68" s="437"/>
      <c r="Y68" s="437"/>
      <c r="Z68" s="437"/>
      <c r="AA68" s="437"/>
      <c r="AB68" s="437"/>
      <c r="AC68" s="437"/>
      <c r="AD68" s="437"/>
      <c r="AE68" s="437"/>
      <c r="AF68" s="440"/>
      <c r="AG68" s="134"/>
      <c r="AH68" s="484"/>
      <c r="AI68" s="485"/>
      <c r="AJ68" s="485"/>
      <c r="AK68" s="485"/>
      <c r="AL68" s="485"/>
      <c r="AM68" s="486"/>
      <c r="AN68" s="443"/>
      <c r="AO68" s="464"/>
      <c r="AP68" s="437"/>
      <c r="AQ68" s="437"/>
      <c r="AR68" s="437"/>
      <c r="AS68" s="437"/>
      <c r="AT68" s="437"/>
      <c r="AU68" s="437"/>
      <c r="AV68" s="437"/>
      <c r="AW68" s="437"/>
      <c r="AX68" s="437"/>
      <c r="AY68" s="437"/>
      <c r="AZ68" s="437"/>
      <c r="BA68" s="437"/>
      <c r="BB68" s="437"/>
      <c r="BC68" s="437"/>
      <c r="BD68" s="437"/>
      <c r="BE68" s="437"/>
      <c r="BF68" s="437"/>
      <c r="BG68" s="465"/>
      <c r="BH68" s="443"/>
    </row>
    <row r="69" spans="1:60" s="443" customFormat="1" x14ac:dyDescent="0.25">
      <c r="A69" s="134"/>
      <c r="B69" s="459" t="s">
        <v>730</v>
      </c>
      <c r="C69" s="454" t="s">
        <v>714</v>
      </c>
      <c r="E69" s="408"/>
      <c r="G69" s="469"/>
      <c r="H69" s="425"/>
      <c r="I69" s="425"/>
      <c r="J69" s="425"/>
      <c r="K69" s="425"/>
      <c r="L69" s="468"/>
      <c r="N69" s="469"/>
      <c r="O69" s="425"/>
      <c r="P69" s="425"/>
      <c r="Q69" s="425"/>
      <c r="R69" s="425"/>
      <c r="S69" s="425"/>
      <c r="T69" s="468"/>
      <c r="V69" s="469"/>
      <c r="W69" s="425"/>
      <c r="X69" s="425"/>
      <c r="Y69" s="425"/>
      <c r="Z69" s="425"/>
      <c r="AA69" s="425"/>
      <c r="AB69" s="425"/>
      <c r="AC69" s="425"/>
      <c r="AD69" s="425"/>
      <c r="AE69" s="425"/>
      <c r="AF69" s="407"/>
      <c r="AG69" s="134"/>
      <c r="AH69" s="478"/>
      <c r="AI69" s="479"/>
      <c r="AJ69" s="479"/>
      <c r="AK69" s="479"/>
      <c r="AL69" s="479"/>
      <c r="AM69" s="480"/>
      <c r="AO69" s="469"/>
      <c r="AP69" s="425"/>
      <c r="AQ69" s="425"/>
      <c r="AR69" s="425"/>
      <c r="AS69" s="425"/>
      <c r="AT69" s="425"/>
      <c r="AU69" s="425"/>
      <c r="AV69" s="425"/>
      <c r="AW69" s="425"/>
      <c r="AX69" s="425"/>
      <c r="AY69" s="425"/>
      <c r="AZ69" s="425"/>
      <c r="BA69" s="425"/>
      <c r="BB69" s="425"/>
      <c r="BC69" s="425"/>
      <c r="BD69" s="425"/>
      <c r="BE69" s="425"/>
      <c r="BF69" s="425"/>
      <c r="BG69" s="468"/>
    </row>
    <row r="70" spans="1:60" x14ac:dyDescent="0.25">
      <c r="A70"/>
      <c r="B70" s="455"/>
      <c r="C70" s="456" t="s">
        <v>715</v>
      </c>
      <c r="E70" s="424"/>
      <c r="F70" s="443"/>
      <c r="G70" s="462"/>
      <c r="H70" s="443"/>
      <c r="I70" s="443"/>
      <c r="J70" s="443"/>
      <c r="K70" s="443"/>
      <c r="L70" s="463"/>
      <c r="M70" s="443"/>
      <c r="N70" s="462"/>
      <c r="O70" s="443"/>
      <c r="P70" s="443"/>
      <c r="Q70" s="443"/>
      <c r="R70" s="443"/>
      <c r="S70" s="443"/>
      <c r="T70" s="463"/>
      <c r="U70" s="443"/>
      <c r="V70" s="462"/>
      <c r="W70" s="443"/>
      <c r="X70" s="443"/>
      <c r="Y70" s="443"/>
      <c r="Z70" s="443"/>
      <c r="AA70" s="443"/>
      <c r="AB70" s="443"/>
      <c r="AC70" s="443"/>
      <c r="AD70" s="443"/>
      <c r="AE70" s="443"/>
      <c r="AF70" s="434"/>
      <c r="AG70" s="134"/>
      <c r="AH70" s="481"/>
      <c r="AI70" s="482"/>
      <c r="AJ70" s="482"/>
      <c r="AK70" s="482"/>
      <c r="AL70" s="482"/>
      <c r="AM70" s="483"/>
      <c r="AN70" s="443"/>
      <c r="AO70" s="462"/>
      <c r="AP70" s="443"/>
      <c r="AQ70" s="443"/>
      <c r="AR70" s="443"/>
      <c r="AS70" s="443"/>
      <c r="AT70" s="443"/>
      <c r="AU70" s="443"/>
      <c r="AV70" s="443"/>
      <c r="AW70" s="443"/>
      <c r="AX70" s="443"/>
      <c r="AY70" s="443"/>
      <c r="AZ70" s="443"/>
      <c r="BA70" s="443"/>
      <c r="BB70" s="443"/>
      <c r="BC70" s="443"/>
      <c r="BD70" s="443"/>
      <c r="BE70" s="443"/>
      <c r="BF70" s="443"/>
      <c r="BG70" s="463"/>
      <c r="BH70" s="443"/>
    </row>
    <row r="71" spans="1:60" x14ac:dyDescent="0.25">
      <c r="A71"/>
      <c r="B71" s="455"/>
      <c r="C71" s="456" t="s">
        <v>716</v>
      </c>
      <c r="E71" s="424"/>
      <c r="F71" s="443"/>
      <c r="G71" s="462"/>
      <c r="H71" s="443"/>
      <c r="I71" s="443"/>
      <c r="J71" s="443"/>
      <c r="K71" s="443"/>
      <c r="L71" s="463"/>
      <c r="M71" s="443"/>
      <c r="N71" s="462"/>
      <c r="O71" s="443"/>
      <c r="P71" s="443"/>
      <c r="Q71" s="443"/>
      <c r="R71" s="443"/>
      <c r="S71" s="443"/>
      <c r="T71" s="463"/>
      <c r="U71" s="443"/>
      <c r="V71" s="462"/>
      <c r="W71" s="443"/>
      <c r="X71" s="443"/>
      <c r="Y71" s="443"/>
      <c r="Z71" s="443"/>
      <c r="AA71" s="443"/>
      <c r="AB71" s="443"/>
      <c r="AC71" s="443"/>
      <c r="AD71" s="443"/>
      <c r="AE71" s="443"/>
      <c r="AF71" s="434"/>
      <c r="AG71" s="134"/>
      <c r="AH71" s="481"/>
      <c r="AI71" s="482"/>
      <c r="AJ71" s="482"/>
      <c r="AK71" s="482"/>
      <c r="AL71" s="482"/>
      <c r="AM71" s="483"/>
      <c r="AN71" s="443"/>
      <c r="AO71" s="462"/>
      <c r="AP71" s="443"/>
      <c r="AQ71" s="443"/>
      <c r="AR71" s="443"/>
      <c r="AS71" s="443"/>
      <c r="AT71" s="443"/>
      <c r="AU71" s="443"/>
      <c r="AV71" s="443"/>
      <c r="AW71" s="443"/>
      <c r="AX71" s="443"/>
      <c r="AY71" s="443"/>
      <c r="AZ71" s="443"/>
      <c r="BA71" s="443"/>
      <c r="BB71" s="443"/>
      <c r="BC71" s="443"/>
      <c r="BD71" s="443"/>
      <c r="BE71" s="443"/>
      <c r="BF71" s="443"/>
      <c r="BG71" s="463"/>
      <c r="BH71" s="443"/>
    </row>
    <row r="72" spans="1:60" x14ac:dyDescent="0.25">
      <c r="A72"/>
      <c r="B72" s="457"/>
      <c r="C72" s="458" t="s">
        <v>717</v>
      </c>
      <c r="E72" s="410"/>
      <c r="F72" s="443"/>
      <c r="G72" s="464"/>
      <c r="H72" s="437"/>
      <c r="I72" s="437"/>
      <c r="J72" s="437"/>
      <c r="K72" s="437"/>
      <c r="L72" s="465"/>
      <c r="M72" s="443"/>
      <c r="N72" s="464"/>
      <c r="O72" s="437"/>
      <c r="P72" s="437"/>
      <c r="Q72" s="437"/>
      <c r="R72" s="437"/>
      <c r="S72" s="437"/>
      <c r="T72" s="465"/>
      <c r="U72" s="443"/>
      <c r="V72" s="464"/>
      <c r="W72" s="437"/>
      <c r="X72" s="437"/>
      <c r="Y72" s="437"/>
      <c r="Z72" s="437"/>
      <c r="AA72" s="437"/>
      <c r="AB72" s="437"/>
      <c r="AC72" s="437"/>
      <c r="AD72" s="437"/>
      <c r="AE72" s="437"/>
      <c r="AF72" s="440"/>
      <c r="AG72" s="134"/>
      <c r="AH72" s="484"/>
      <c r="AI72" s="485"/>
      <c r="AJ72" s="485"/>
      <c r="AK72" s="485"/>
      <c r="AL72" s="485"/>
      <c r="AM72" s="486"/>
      <c r="AN72" s="443"/>
      <c r="AO72" s="464"/>
      <c r="AP72" s="437"/>
      <c r="AQ72" s="437"/>
      <c r="AR72" s="437"/>
      <c r="AS72" s="437"/>
      <c r="AT72" s="437"/>
      <c r="AU72" s="437"/>
      <c r="AV72" s="437"/>
      <c r="AW72" s="437"/>
      <c r="AX72" s="437"/>
      <c r="AY72" s="437"/>
      <c r="AZ72" s="437"/>
      <c r="BA72" s="437"/>
      <c r="BB72" s="437"/>
      <c r="BC72" s="437"/>
      <c r="BD72" s="437"/>
      <c r="BE72" s="437"/>
      <c r="BF72" s="437"/>
      <c r="BG72" s="465"/>
      <c r="BH72" s="443"/>
    </row>
    <row r="73" spans="1:60" s="443" customFormat="1" x14ac:dyDescent="0.25">
      <c r="A73" s="134"/>
      <c r="B73" s="455" t="s">
        <v>731</v>
      </c>
      <c r="C73" s="454" t="s">
        <v>714</v>
      </c>
      <c r="E73" s="424"/>
      <c r="G73" s="462"/>
      <c r="L73" s="463"/>
      <c r="N73" s="462"/>
      <c r="T73" s="463"/>
      <c r="V73" s="462"/>
      <c r="AF73" s="434"/>
      <c r="AG73" s="134"/>
      <c r="AH73" s="481"/>
      <c r="AI73" s="482"/>
      <c r="AJ73" s="482"/>
      <c r="AK73" s="482"/>
      <c r="AL73" s="482"/>
      <c r="AM73" s="483"/>
      <c r="AO73" s="462"/>
      <c r="BG73" s="463"/>
    </row>
    <row r="74" spans="1:60" x14ac:dyDescent="0.25">
      <c r="A74"/>
      <c r="B74" s="455"/>
      <c r="C74" s="456" t="s">
        <v>715</v>
      </c>
      <c r="E74" s="424"/>
      <c r="F74" s="443"/>
      <c r="G74" s="462"/>
      <c r="H74" s="443"/>
      <c r="I74" s="443"/>
      <c r="J74" s="443"/>
      <c r="K74" s="443"/>
      <c r="L74" s="463"/>
      <c r="M74" s="443"/>
      <c r="N74" s="462"/>
      <c r="O74" s="443"/>
      <c r="P74" s="443"/>
      <c r="Q74" s="443"/>
      <c r="R74" s="443"/>
      <c r="S74" s="443"/>
      <c r="T74" s="463"/>
      <c r="U74" s="443"/>
      <c r="V74" s="462"/>
      <c r="W74" s="443"/>
      <c r="X74" s="443"/>
      <c r="Y74" s="443"/>
      <c r="Z74" s="443"/>
      <c r="AA74" s="443"/>
      <c r="AB74" s="443"/>
      <c r="AC74" s="443"/>
      <c r="AD74" s="443"/>
      <c r="AE74" s="443"/>
      <c r="AF74" s="434"/>
      <c r="AG74" s="134"/>
      <c r="AH74" s="481"/>
      <c r="AI74" s="482"/>
      <c r="AJ74" s="482"/>
      <c r="AK74" s="482"/>
      <c r="AL74" s="482"/>
      <c r="AM74" s="483"/>
      <c r="AN74" s="443"/>
      <c r="AO74" s="462"/>
      <c r="AP74" s="443"/>
      <c r="AQ74" s="443"/>
      <c r="AR74" s="443"/>
      <c r="AS74" s="443"/>
      <c r="AT74" s="443"/>
      <c r="AU74" s="443"/>
      <c r="AV74" s="443"/>
      <c r="AW74" s="443"/>
      <c r="AX74" s="443"/>
      <c r="AY74" s="443"/>
      <c r="AZ74" s="443"/>
      <c r="BA74" s="443"/>
      <c r="BB74" s="443"/>
      <c r="BC74" s="443"/>
      <c r="BD74" s="443"/>
      <c r="BE74" s="443"/>
      <c r="BF74" s="443"/>
      <c r="BG74" s="463"/>
      <c r="BH74" s="443"/>
    </row>
    <row r="75" spans="1:60" x14ac:dyDescent="0.25">
      <c r="A75"/>
      <c r="B75" s="455"/>
      <c r="C75" s="456" t="s">
        <v>716</v>
      </c>
      <c r="E75" s="424"/>
      <c r="F75" s="443"/>
      <c r="G75" s="462"/>
      <c r="H75" s="443"/>
      <c r="I75" s="443"/>
      <c r="J75" s="443"/>
      <c r="K75" s="443"/>
      <c r="L75" s="463"/>
      <c r="M75" s="443"/>
      <c r="N75" s="462"/>
      <c r="O75" s="443"/>
      <c r="P75" s="443"/>
      <c r="Q75" s="443"/>
      <c r="R75" s="443"/>
      <c r="S75" s="443"/>
      <c r="T75" s="463"/>
      <c r="U75" s="443"/>
      <c r="V75" s="462"/>
      <c r="W75" s="443"/>
      <c r="X75" s="443"/>
      <c r="Y75" s="443"/>
      <c r="Z75" s="443"/>
      <c r="AA75" s="443"/>
      <c r="AB75" s="443"/>
      <c r="AC75" s="443"/>
      <c r="AD75" s="443"/>
      <c r="AE75" s="443"/>
      <c r="AF75" s="434"/>
      <c r="AG75" s="134"/>
      <c r="AH75" s="481"/>
      <c r="AI75" s="482"/>
      <c r="AJ75" s="482"/>
      <c r="AK75" s="482"/>
      <c r="AL75" s="482"/>
      <c r="AM75" s="483"/>
      <c r="AN75" s="443"/>
      <c r="AO75" s="462"/>
      <c r="AP75" s="443"/>
      <c r="AQ75" s="443"/>
      <c r="AR75" s="443"/>
      <c r="AS75" s="443"/>
      <c r="AT75" s="443"/>
      <c r="AU75" s="443"/>
      <c r="AV75" s="443"/>
      <c r="AW75" s="443"/>
      <c r="AX75" s="443"/>
      <c r="AY75" s="443"/>
      <c r="AZ75" s="443"/>
      <c r="BA75" s="443"/>
      <c r="BB75" s="443"/>
      <c r="BC75" s="443"/>
      <c r="BD75" s="443"/>
      <c r="BE75" s="443"/>
      <c r="BF75" s="443"/>
      <c r="BG75" s="463"/>
      <c r="BH75" s="443"/>
    </row>
    <row r="76" spans="1:60" x14ac:dyDescent="0.25">
      <c r="A76"/>
      <c r="B76" s="455"/>
      <c r="C76" s="458" t="s">
        <v>717</v>
      </c>
      <c r="E76" s="424"/>
      <c r="F76" s="443"/>
      <c r="G76" s="462"/>
      <c r="H76" s="443"/>
      <c r="I76" s="443"/>
      <c r="J76" s="443"/>
      <c r="K76" s="443"/>
      <c r="L76" s="463"/>
      <c r="M76" s="443"/>
      <c r="N76" s="462"/>
      <c r="O76" s="443"/>
      <c r="P76" s="443"/>
      <c r="Q76" s="443"/>
      <c r="R76" s="443"/>
      <c r="S76" s="443"/>
      <c r="T76" s="463"/>
      <c r="U76" s="443"/>
      <c r="V76" s="462"/>
      <c r="W76" s="443"/>
      <c r="X76" s="443"/>
      <c r="Y76" s="443"/>
      <c r="Z76" s="443"/>
      <c r="AA76" s="443"/>
      <c r="AB76" s="443"/>
      <c r="AC76" s="443"/>
      <c r="AD76" s="443"/>
      <c r="AE76" s="443"/>
      <c r="AF76" s="434"/>
      <c r="AG76" s="134"/>
      <c r="AH76" s="481"/>
      <c r="AI76" s="482"/>
      <c r="AJ76" s="482"/>
      <c r="AK76" s="482"/>
      <c r="AL76" s="482"/>
      <c r="AM76" s="483"/>
      <c r="AN76" s="443"/>
      <c r="AO76" s="462"/>
      <c r="AP76" s="443"/>
      <c r="AQ76" s="443"/>
      <c r="AR76" s="443"/>
      <c r="AS76" s="443"/>
      <c r="AT76" s="443"/>
      <c r="AU76" s="443"/>
      <c r="AV76" s="443"/>
      <c r="AW76" s="443"/>
      <c r="AX76" s="443"/>
      <c r="AY76" s="443"/>
      <c r="AZ76" s="443"/>
      <c r="BA76" s="443"/>
      <c r="BB76" s="443"/>
      <c r="BC76" s="443"/>
      <c r="BD76" s="443"/>
      <c r="BE76" s="443"/>
      <c r="BF76" s="443"/>
      <c r="BG76" s="463"/>
      <c r="BH76" s="443"/>
    </row>
    <row r="77" spans="1:60" s="443" customFormat="1" x14ac:dyDescent="0.25">
      <c r="A77" s="134"/>
      <c r="B77" s="459" t="s">
        <v>732</v>
      </c>
      <c r="C77" s="454" t="s">
        <v>714</v>
      </c>
      <c r="E77" s="408"/>
      <c r="G77" s="469"/>
      <c r="H77" s="425"/>
      <c r="I77" s="425"/>
      <c r="J77" s="425"/>
      <c r="K77" s="425"/>
      <c r="L77" s="468"/>
      <c r="N77" s="469"/>
      <c r="O77" s="425"/>
      <c r="P77" s="425"/>
      <c r="Q77" s="425"/>
      <c r="R77" s="425"/>
      <c r="S77" s="425"/>
      <c r="T77" s="468"/>
      <c r="V77" s="469"/>
      <c r="W77" s="425"/>
      <c r="X77" s="425"/>
      <c r="Y77" s="425"/>
      <c r="Z77" s="425"/>
      <c r="AA77" s="425"/>
      <c r="AB77" s="425"/>
      <c r="AC77" s="425"/>
      <c r="AD77" s="425"/>
      <c r="AE77" s="425"/>
      <c r="AF77" s="407"/>
      <c r="AG77" s="134"/>
      <c r="AH77" s="478"/>
      <c r="AI77" s="479"/>
      <c r="AJ77" s="479"/>
      <c r="AK77" s="479"/>
      <c r="AL77" s="479"/>
      <c r="AM77" s="480"/>
      <c r="AO77" s="469"/>
      <c r="AP77" s="425"/>
      <c r="AQ77" s="425"/>
      <c r="AR77" s="425"/>
      <c r="AS77" s="425"/>
      <c r="AT77" s="425"/>
      <c r="AU77" s="425"/>
      <c r="AV77" s="425"/>
      <c r="AW77" s="425"/>
      <c r="AX77" s="425"/>
      <c r="AY77" s="425"/>
      <c r="AZ77" s="425"/>
      <c r="BA77" s="425"/>
      <c r="BB77" s="425"/>
      <c r="BC77" s="425"/>
      <c r="BD77" s="425"/>
      <c r="BE77" s="425"/>
      <c r="BF77" s="425"/>
      <c r="BG77" s="468"/>
    </row>
    <row r="78" spans="1:60" x14ac:dyDescent="0.25">
      <c r="A78"/>
      <c r="B78" s="455"/>
      <c r="C78" s="456" t="s">
        <v>715</v>
      </c>
      <c r="E78" s="424"/>
      <c r="F78" s="443"/>
      <c r="G78" s="462"/>
      <c r="H78" s="443"/>
      <c r="I78" s="443"/>
      <c r="J78" s="443"/>
      <c r="K78" s="443"/>
      <c r="L78" s="463"/>
      <c r="M78" s="443"/>
      <c r="N78" s="462"/>
      <c r="O78" s="443"/>
      <c r="P78" s="443"/>
      <c r="Q78" s="443"/>
      <c r="R78" s="443"/>
      <c r="S78" s="443"/>
      <c r="T78" s="463"/>
      <c r="U78" s="443"/>
      <c r="V78" s="462"/>
      <c r="W78" s="443"/>
      <c r="X78" s="443"/>
      <c r="Y78" s="443"/>
      <c r="Z78" s="443"/>
      <c r="AA78" s="443"/>
      <c r="AB78" s="443"/>
      <c r="AC78" s="443"/>
      <c r="AD78" s="443"/>
      <c r="AE78" s="443"/>
      <c r="AF78" s="434"/>
      <c r="AG78" s="134"/>
      <c r="AH78" s="481"/>
      <c r="AI78" s="482"/>
      <c r="AJ78" s="482"/>
      <c r="AK78" s="482"/>
      <c r="AL78" s="482"/>
      <c r="AM78" s="483"/>
      <c r="AN78" s="443"/>
      <c r="AO78" s="462"/>
      <c r="AP78" s="443"/>
      <c r="AQ78" s="443"/>
      <c r="AR78" s="443"/>
      <c r="AS78" s="443"/>
      <c r="AT78" s="443"/>
      <c r="AU78" s="443"/>
      <c r="AV78" s="443"/>
      <c r="AW78" s="443"/>
      <c r="AX78" s="443"/>
      <c r="AY78" s="443"/>
      <c r="AZ78" s="443"/>
      <c r="BA78" s="443"/>
      <c r="BB78" s="443"/>
      <c r="BC78" s="443"/>
      <c r="BD78" s="443"/>
      <c r="BE78" s="443"/>
      <c r="BF78" s="443"/>
      <c r="BG78" s="463"/>
      <c r="BH78" s="443"/>
    </row>
    <row r="79" spans="1:60" x14ac:dyDescent="0.25">
      <c r="A79"/>
      <c r="B79" s="455"/>
      <c r="C79" s="456" t="s">
        <v>716</v>
      </c>
      <c r="E79" s="424"/>
      <c r="F79" s="443"/>
      <c r="G79" s="462"/>
      <c r="H79" s="443"/>
      <c r="I79" s="443"/>
      <c r="J79" s="443"/>
      <c r="K79" s="443"/>
      <c r="L79" s="463"/>
      <c r="M79" s="443"/>
      <c r="N79" s="462"/>
      <c r="O79" s="443"/>
      <c r="P79" s="443"/>
      <c r="Q79" s="443"/>
      <c r="R79" s="443"/>
      <c r="S79" s="443"/>
      <c r="T79" s="463"/>
      <c r="U79" s="443"/>
      <c r="V79" s="462"/>
      <c r="W79" s="443"/>
      <c r="X79" s="443"/>
      <c r="Y79" s="443"/>
      <c r="Z79" s="443"/>
      <c r="AA79" s="443"/>
      <c r="AB79" s="443"/>
      <c r="AC79" s="443"/>
      <c r="AD79" s="443"/>
      <c r="AE79" s="443"/>
      <c r="AF79" s="434"/>
      <c r="AG79" s="134"/>
      <c r="AH79" s="481"/>
      <c r="AI79" s="482"/>
      <c r="AJ79" s="482"/>
      <c r="AK79" s="482"/>
      <c r="AL79" s="482"/>
      <c r="AM79" s="483"/>
      <c r="AN79" s="443"/>
      <c r="AO79" s="462"/>
      <c r="AP79" s="443"/>
      <c r="AQ79" s="443"/>
      <c r="AR79" s="443"/>
      <c r="AS79" s="443"/>
      <c r="AT79" s="443"/>
      <c r="AU79" s="443"/>
      <c r="AV79" s="443"/>
      <c r="AW79" s="443"/>
      <c r="AX79" s="443"/>
      <c r="AY79" s="443"/>
      <c r="AZ79" s="443"/>
      <c r="BA79" s="443"/>
      <c r="BB79" s="443"/>
      <c r="BC79" s="443"/>
      <c r="BD79" s="443"/>
      <c r="BE79" s="443"/>
      <c r="BF79" s="443"/>
      <c r="BG79" s="463"/>
      <c r="BH79" s="443"/>
    </row>
    <row r="80" spans="1:60" x14ac:dyDescent="0.25">
      <c r="A80"/>
      <c r="B80" s="457"/>
      <c r="C80" s="458" t="s">
        <v>717</v>
      </c>
      <c r="E80" s="410"/>
      <c r="F80" s="443"/>
      <c r="G80" s="464"/>
      <c r="H80" s="437"/>
      <c r="I80" s="437"/>
      <c r="J80" s="437"/>
      <c r="K80" s="437"/>
      <c r="L80" s="465"/>
      <c r="M80" s="443"/>
      <c r="N80" s="464"/>
      <c r="O80" s="437"/>
      <c r="P80" s="437"/>
      <c r="Q80" s="437"/>
      <c r="R80" s="437"/>
      <c r="S80" s="437"/>
      <c r="T80" s="465"/>
      <c r="U80" s="443"/>
      <c r="V80" s="464"/>
      <c r="W80" s="437"/>
      <c r="X80" s="437"/>
      <c r="Y80" s="437"/>
      <c r="Z80" s="437"/>
      <c r="AA80" s="437"/>
      <c r="AB80" s="437"/>
      <c r="AC80" s="437"/>
      <c r="AD80" s="437"/>
      <c r="AE80" s="437"/>
      <c r="AF80" s="440"/>
      <c r="AG80" s="134"/>
      <c r="AH80" s="484"/>
      <c r="AI80" s="485"/>
      <c r="AJ80" s="485"/>
      <c r="AK80" s="485"/>
      <c r="AL80" s="485"/>
      <c r="AM80" s="486"/>
      <c r="AN80" s="443"/>
      <c r="AO80" s="464"/>
      <c r="AP80" s="437"/>
      <c r="AQ80" s="437"/>
      <c r="AR80" s="437"/>
      <c r="AS80" s="437"/>
      <c r="AT80" s="437"/>
      <c r="AU80" s="437"/>
      <c r="AV80" s="437"/>
      <c r="AW80" s="437"/>
      <c r="AX80" s="437"/>
      <c r="AY80" s="437"/>
      <c r="AZ80" s="437"/>
      <c r="BA80" s="437"/>
      <c r="BB80" s="437"/>
      <c r="BC80" s="437"/>
      <c r="BD80" s="437"/>
      <c r="BE80" s="437"/>
      <c r="BF80" s="437"/>
      <c r="BG80" s="465"/>
      <c r="BH80" s="443"/>
    </row>
    <row r="81" spans="1:60" s="443" customFormat="1" x14ac:dyDescent="0.25">
      <c r="A81" s="134"/>
      <c r="B81" s="459" t="s">
        <v>733</v>
      </c>
      <c r="C81" s="454" t="s">
        <v>714</v>
      </c>
      <c r="E81" s="408"/>
      <c r="G81" s="469"/>
      <c r="H81" s="425"/>
      <c r="I81" s="425"/>
      <c r="J81" s="425"/>
      <c r="K81" s="425"/>
      <c r="L81" s="468"/>
      <c r="N81" s="469"/>
      <c r="O81" s="425"/>
      <c r="P81" s="425"/>
      <c r="Q81" s="425"/>
      <c r="R81" s="425"/>
      <c r="S81" s="425"/>
      <c r="T81" s="468"/>
      <c r="V81" s="469"/>
      <c r="W81" s="425"/>
      <c r="X81" s="425"/>
      <c r="Y81" s="425"/>
      <c r="Z81" s="425"/>
      <c r="AA81" s="425"/>
      <c r="AB81" s="425"/>
      <c r="AC81" s="425"/>
      <c r="AD81" s="425"/>
      <c r="AE81" s="425"/>
      <c r="AF81" s="407"/>
      <c r="AG81" s="134"/>
      <c r="AH81" s="478"/>
      <c r="AI81" s="479"/>
      <c r="AJ81" s="479"/>
      <c r="AK81" s="479"/>
      <c r="AL81" s="479"/>
      <c r="AM81" s="480"/>
      <c r="AO81" s="469"/>
      <c r="AP81" s="425"/>
      <c r="AQ81" s="425"/>
      <c r="AR81" s="425"/>
      <c r="AS81" s="425"/>
      <c r="AT81" s="425"/>
      <c r="AU81" s="425"/>
      <c r="AV81" s="425"/>
      <c r="AW81" s="425"/>
      <c r="AX81" s="425"/>
      <c r="AY81" s="425"/>
      <c r="AZ81" s="425"/>
      <c r="BA81" s="425"/>
      <c r="BB81" s="425"/>
      <c r="BC81" s="425"/>
      <c r="BD81" s="425"/>
      <c r="BE81" s="425"/>
      <c r="BF81" s="425"/>
      <c r="BG81" s="468"/>
    </row>
    <row r="82" spans="1:60" x14ac:dyDescent="0.25">
      <c r="A82"/>
      <c r="B82" s="455"/>
      <c r="C82" s="456" t="s">
        <v>715</v>
      </c>
      <c r="E82" s="424"/>
      <c r="F82" s="443"/>
      <c r="G82" s="462"/>
      <c r="H82" s="443"/>
      <c r="I82" s="443"/>
      <c r="J82" s="443"/>
      <c r="K82" s="443"/>
      <c r="L82" s="463"/>
      <c r="M82" s="443"/>
      <c r="N82" s="462"/>
      <c r="O82" s="443"/>
      <c r="P82" s="443"/>
      <c r="Q82" s="443"/>
      <c r="R82" s="443"/>
      <c r="S82" s="443"/>
      <c r="T82" s="463"/>
      <c r="U82" s="443"/>
      <c r="V82" s="462"/>
      <c r="W82" s="443"/>
      <c r="X82" s="443"/>
      <c r="Y82" s="443"/>
      <c r="Z82" s="443"/>
      <c r="AA82" s="443"/>
      <c r="AB82" s="443"/>
      <c r="AC82" s="443"/>
      <c r="AD82" s="443"/>
      <c r="AE82" s="443"/>
      <c r="AF82" s="434"/>
      <c r="AG82" s="134"/>
      <c r="AH82" s="481"/>
      <c r="AI82" s="482"/>
      <c r="AJ82" s="482"/>
      <c r="AK82" s="482"/>
      <c r="AL82" s="482"/>
      <c r="AM82" s="483"/>
      <c r="AN82" s="443"/>
      <c r="AO82" s="462"/>
      <c r="AP82" s="443"/>
      <c r="AQ82" s="443"/>
      <c r="AR82" s="443"/>
      <c r="AS82" s="443"/>
      <c r="AT82" s="443"/>
      <c r="AU82" s="443"/>
      <c r="AV82" s="443"/>
      <c r="AW82" s="443"/>
      <c r="AX82" s="443"/>
      <c r="AY82" s="443"/>
      <c r="AZ82" s="443"/>
      <c r="BA82" s="443"/>
      <c r="BB82" s="443"/>
      <c r="BC82" s="443"/>
      <c r="BD82" s="443"/>
      <c r="BE82" s="443"/>
      <c r="BF82" s="443"/>
      <c r="BG82" s="463"/>
      <c r="BH82" s="443"/>
    </row>
    <row r="83" spans="1:60" x14ac:dyDescent="0.25">
      <c r="A83"/>
      <c r="B83" s="455"/>
      <c r="C83" s="456" t="s">
        <v>716</v>
      </c>
      <c r="E83" s="424"/>
      <c r="F83" s="443"/>
      <c r="G83" s="462"/>
      <c r="H83" s="443"/>
      <c r="I83" s="443"/>
      <c r="J83" s="443"/>
      <c r="K83" s="443"/>
      <c r="L83" s="463"/>
      <c r="M83" s="443"/>
      <c r="N83" s="462"/>
      <c r="O83" s="443"/>
      <c r="P83" s="443"/>
      <c r="Q83" s="443"/>
      <c r="R83" s="443"/>
      <c r="S83" s="443"/>
      <c r="T83" s="463"/>
      <c r="U83" s="443"/>
      <c r="V83" s="462"/>
      <c r="W83" s="443"/>
      <c r="X83" s="443"/>
      <c r="Y83" s="443"/>
      <c r="Z83" s="443"/>
      <c r="AA83" s="443"/>
      <c r="AB83" s="443"/>
      <c r="AC83" s="443"/>
      <c r="AD83" s="443"/>
      <c r="AE83" s="443"/>
      <c r="AF83" s="434"/>
      <c r="AG83" s="134"/>
      <c r="AH83" s="481"/>
      <c r="AI83" s="482"/>
      <c r="AJ83" s="482"/>
      <c r="AK83" s="482"/>
      <c r="AL83" s="482"/>
      <c r="AM83" s="483"/>
      <c r="AN83" s="443"/>
      <c r="AO83" s="462"/>
      <c r="AP83" s="443"/>
      <c r="AQ83" s="443"/>
      <c r="AR83" s="443"/>
      <c r="AS83" s="443"/>
      <c r="AT83" s="443"/>
      <c r="AU83" s="443"/>
      <c r="AV83" s="443"/>
      <c r="AW83" s="443"/>
      <c r="AX83" s="443"/>
      <c r="AY83" s="443"/>
      <c r="AZ83" s="443"/>
      <c r="BA83" s="443"/>
      <c r="BB83" s="443"/>
      <c r="BC83" s="443"/>
      <c r="BD83" s="443"/>
      <c r="BE83" s="443"/>
      <c r="BF83" s="443"/>
      <c r="BG83" s="463"/>
      <c r="BH83" s="443"/>
    </row>
    <row r="84" spans="1:60" x14ac:dyDescent="0.25">
      <c r="A84"/>
      <c r="B84" s="457"/>
      <c r="C84" s="458" t="s">
        <v>717</v>
      </c>
      <c r="E84" s="410"/>
      <c r="F84" s="443"/>
      <c r="G84" s="464"/>
      <c r="H84" s="437"/>
      <c r="I84" s="437"/>
      <c r="J84" s="437"/>
      <c r="K84" s="437"/>
      <c r="L84" s="465"/>
      <c r="M84" s="443"/>
      <c r="N84" s="464"/>
      <c r="O84" s="437"/>
      <c r="P84" s="437"/>
      <c r="Q84" s="437"/>
      <c r="R84" s="437"/>
      <c r="S84" s="437"/>
      <c r="T84" s="465"/>
      <c r="U84" s="443"/>
      <c r="V84" s="464"/>
      <c r="W84" s="437"/>
      <c r="X84" s="437"/>
      <c r="Y84" s="437"/>
      <c r="Z84" s="437"/>
      <c r="AA84" s="437"/>
      <c r="AB84" s="437"/>
      <c r="AC84" s="437"/>
      <c r="AD84" s="437"/>
      <c r="AE84" s="437"/>
      <c r="AF84" s="440"/>
      <c r="AG84" s="134"/>
      <c r="AH84" s="484"/>
      <c r="AI84" s="485"/>
      <c r="AJ84" s="485"/>
      <c r="AK84" s="485"/>
      <c r="AL84" s="485"/>
      <c r="AM84" s="486"/>
      <c r="AN84" s="443"/>
      <c r="AO84" s="464"/>
      <c r="AP84" s="437"/>
      <c r="AQ84" s="437"/>
      <c r="AR84" s="437"/>
      <c r="AS84" s="437"/>
      <c r="AT84" s="437"/>
      <c r="AU84" s="437"/>
      <c r="AV84" s="437"/>
      <c r="AW84" s="437"/>
      <c r="AX84" s="437"/>
      <c r="AY84" s="437"/>
      <c r="AZ84" s="437"/>
      <c r="BA84" s="437"/>
      <c r="BB84" s="437"/>
      <c r="BC84" s="437"/>
      <c r="BD84" s="437"/>
      <c r="BE84" s="437"/>
      <c r="BF84" s="437"/>
      <c r="BG84" s="465"/>
      <c r="BH84" s="443"/>
    </row>
    <row r="85" spans="1:60" s="443" customFormat="1" x14ac:dyDescent="0.25">
      <c r="A85" s="134"/>
      <c r="B85" s="459" t="s">
        <v>734</v>
      </c>
      <c r="C85" s="454" t="s">
        <v>714</v>
      </c>
      <c r="E85" s="408"/>
      <c r="G85" s="469"/>
      <c r="H85" s="425"/>
      <c r="I85" s="425"/>
      <c r="J85" s="425"/>
      <c r="K85" s="425"/>
      <c r="L85" s="468"/>
      <c r="N85" s="469"/>
      <c r="O85" s="425"/>
      <c r="P85" s="425"/>
      <c r="Q85" s="425"/>
      <c r="R85" s="425"/>
      <c r="S85" s="425"/>
      <c r="T85" s="468"/>
      <c r="V85" s="469"/>
      <c r="W85" s="425"/>
      <c r="X85" s="425"/>
      <c r="Y85" s="425"/>
      <c r="Z85" s="425"/>
      <c r="AA85" s="425"/>
      <c r="AB85" s="425"/>
      <c r="AC85" s="425"/>
      <c r="AD85" s="425"/>
      <c r="AE85" s="425"/>
      <c r="AF85" s="407"/>
      <c r="AG85" s="134"/>
      <c r="AH85" s="478"/>
      <c r="AI85" s="479"/>
      <c r="AJ85" s="479"/>
      <c r="AK85" s="479"/>
      <c r="AL85" s="479"/>
      <c r="AM85" s="480"/>
      <c r="AO85" s="469"/>
      <c r="AP85" s="425"/>
      <c r="AQ85" s="425"/>
      <c r="AR85" s="425"/>
      <c r="AS85" s="425"/>
      <c r="AT85" s="425"/>
      <c r="AU85" s="425"/>
      <c r="AV85" s="425"/>
      <c r="AW85" s="425"/>
      <c r="AX85" s="425"/>
      <c r="AY85" s="425"/>
      <c r="AZ85" s="425"/>
      <c r="BA85" s="425"/>
      <c r="BB85" s="425"/>
      <c r="BC85" s="425"/>
      <c r="BD85" s="425"/>
      <c r="BE85" s="425"/>
      <c r="BF85" s="425"/>
      <c r="BG85" s="468"/>
    </row>
    <row r="86" spans="1:60" x14ac:dyDescent="0.25">
      <c r="A86"/>
      <c r="B86" s="455"/>
      <c r="C86" s="456" t="s">
        <v>715</v>
      </c>
      <c r="E86" s="424"/>
      <c r="F86" s="443"/>
      <c r="G86" s="462"/>
      <c r="H86" s="443"/>
      <c r="I86" s="443"/>
      <c r="J86" s="443"/>
      <c r="K86" s="443"/>
      <c r="L86" s="463"/>
      <c r="M86" s="443"/>
      <c r="N86" s="462"/>
      <c r="O86" s="443"/>
      <c r="P86" s="443"/>
      <c r="Q86" s="443"/>
      <c r="R86" s="443"/>
      <c r="S86" s="443"/>
      <c r="T86" s="463"/>
      <c r="U86" s="443"/>
      <c r="V86" s="462"/>
      <c r="W86" s="443"/>
      <c r="X86" s="443"/>
      <c r="Y86" s="443"/>
      <c r="Z86" s="443"/>
      <c r="AA86" s="443"/>
      <c r="AB86" s="443"/>
      <c r="AC86" s="443"/>
      <c r="AD86" s="443"/>
      <c r="AE86" s="443"/>
      <c r="AF86" s="434"/>
      <c r="AG86" s="134"/>
      <c r="AH86" s="481"/>
      <c r="AI86" s="482"/>
      <c r="AJ86" s="482"/>
      <c r="AK86" s="482"/>
      <c r="AL86" s="482"/>
      <c r="AM86" s="483"/>
      <c r="AN86" s="443"/>
      <c r="AO86" s="462"/>
      <c r="AP86" s="443"/>
      <c r="AQ86" s="443"/>
      <c r="AR86" s="443"/>
      <c r="AS86" s="443"/>
      <c r="AT86" s="443"/>
      <c r="AU86" s="443"/>
      <c r="AV86" s="443"/>
      <c r="AW86" s="443"/>
      <c r="AX86" s="443"/>
      <c r="AY86" s="443"/>
      <c r="AZ86" s="443"/>
      <c r="BA86" s="443"/>
      <c r="BB86" s="443"/>
      <c r="BC86" s="443"/>
      <c r="BD86" s="443"/>
      <c r="BE86" s="443"/>
      <c r="BF86" s="443"/>
      <c r="BG86" s="463"/>
      <c r="BH86" s="443"/>
    </row>
    <row r="87" spans="1:60" x14ac:dyDescent="0.25">
      <c r="A87"/>
      <c r="B87" s="455"/>
      <c r="C87" s="456" t="s">
        <v>716</v>
      </c>
      <c r="E87" s="424"/>
      <c r="F87" s="443"/>
      <c r="G87" s="462"/>
      <c r="H87" s="443"/>
      <c r="I87" s="443"/>
      <c r="J87" s="443"/>
      <c r="K87" s="443"/>
      <c r="L87" s="463"/>
      <c r="M87" s="443"/>
      <c r="N87" s="462"/>
      <c r="O87" s="443"/>
      <c r="P87" s="443"/>
      <c r="Q87" s="443"/>
      <c r="R87" s="443"/>
      <c r="S87" s="443"/>
      <c r="T87" s="463"/>
      <c r="U87" s="443"/>
      <c r="V87" s="462"/>
      <c r="W87" s="443"/>
      <c r="X87" s="443"/>
      <c r="Y87" s="443"/>
      <c r="Z87" s="443"/>
      <c r="AA87" s="443"/>
      <c r="AB87" s="443"/>
      <c r="AC87" s="443"/>
      <c r="AD87" s="443"/>
      <c r="AE87" s="443"/>
      <c r="AF87" s="434"/>
      <c r="AG87" s="134"/>
      <c r="AH87" s="481"/>
      <c r="AI87" s="482"/>
      <c r="AJ87" s="482"/>
      <c r="AK87" s="482"/>
      <c r="AL87" s="482"/>
      <c r="AM87" s="483"/>
      <c r="AN87" s="443"/>
      <c r="AO87" s="462"/>
      <c r="AP87" s="443"/>
      <c r="AQ87" s="443"/>
      <c r="AR87" s="443"/>
      <c r="AS87" s="443"/>
      <c r="AT87" s="443"/>
      <c r="AU87" s="443"/>
      <c r="AV87" s="443"/>
      <c r="AW87" s="443"/>
      <c r="AX87" s="443"/>
      <c r="AY87" s="443"/>
      <c r="AZ87" s="443"/>
      <c r="BA87" s="443"/>
      <c r="BB87" s="443"/>
      <c r="BC87" s="443"/>
      <c r="BD87" s="443"/>
      <c r="BE87" s="443"/>
      <c r="BF87" s="443"/>
      <c r="BG87" s="463"/>
      <c r="BH87" s="443"/>
    </row>
    <row r="88" spans="1:60" x14ac:dyDescent="0.25">
      <c r="A88"/>
      <c r="B88" s="457"/>
      <c r="C88" s="458" t="s">
        <v>717</v>
      </c>
      <c r="E88" s="410"/>
      <c r="F88" s="443"/>
      <c r="G88" s="464"/>
      <c r="H88" s="437"/>
      <c r="I88" s="437"/>
      <c r="J88" s="437"/>
      <c r="K88" s="437"/>
      <c r="L88" s="465"/>
      <c r="M88" s="443"/>
      <c r="N88" s="464"/>
      <c r="O88" s="437"/>
      <c r="P88" s="437"/>
      <c r="Q88" s="437"/>
      <c r="R88" s="437"/>
      <c r="S88" s="437"/>
      <c r="T88" s="465"/>
      <c r="U88" s="443"/>
      <c r="V88" s="464"/>
      <c r="W88" s="437"/>
      <c r="X88" s="437"/>
      <c r="Y88" s="437"/>
      <c r="Z88" s="437"/>
      <c r="AA88" s="437"/>
      <c r="AB88" s="437"/>
      <c r="AC88" s="437"/>
      <c r="AD88" s="437"/>
      <c r="AE88" s="437"/>
      <c r="AF88" s="440"/>
      <c r="AG88" s="134"/>
      <c r="AH88" s="484"/>
      <c r="AI88" s="485"/>
      <c r="AJ88" s="485"/>
      <c r="AK88" s="485"/>
      <c r="AL88" s="485"/>
      <c r="AM88" s="486"/>
      <c r="AN88" s="443"/>
      <c r="AO88" s="464"/>
      <c r="AP88" s="437"/>
      <c r="AQ88" s="437"/>
      <c r="AR88" s="437"/>
      <c r="AS88" s="437"/>
      <c r="AT88" s="437"/>
      <c r="AU88" s="437"/>
      <c r="AV88" s="437"/>
      <c r="AW88" s="437"/>
      <c r="AX88" s="437"/>
      <c r="AY88" s="437"/>
      <c r="AZ88" s="437"/>
      <c r="BA88" s="437"/>
      <c r="BB88" s="437"/>
      <c r="BC88" s="437"/>
      <c r="BD88" s="437"/>
      <c r="BE88" s="437"/>
      <c r="BF88" s="437"/>
      <c r="BG88" s="465"/>
      <c r="BH88" s="443"/>
    </row>
    <row r="89" spans="1:60" s="443" customFormat="1" x14ac:dyDescent="0.25">
      <c r="A89" s="134"/>
      <c r="B89" s="459" t="s">
        <v>735</v>
      </c>
      <c r="C89" s="454" t="s">
        <v>714</v>
      </c>
      <c r="E89" s="408"/>
      <c r="G89" s="469"/>
      <c r="H89" s="425"/>
      <c r="I89" s="425"/>
      <c r="J89" s="425"/>
      <c r="K89" s="425"/>
      <c r="L89" s="468"/>
      <c r="N89" s="469"/>
      <c r="O89" s="425"/>
      <c r="P89" s="425"/>
      <c r="Q89" s="425"/>
      <c r="R89" s="425"/>
      <c r="S89" s="425"/>
      <c r="T89" s="468"/>
      <c r="V89" s="469"/>
      <c r="W89" s="425"/>
      <c r="X89" s="425"/>
      <c r="Y89" s="425"/>
      <c r="Z89" s="425"/>
      <c r="AA89" s="425"/>
      <c r="AB89" s="425"/>
      <c r="AC89" s="425"/>
      <c r="AD89" s="425"/>
      <c r="AE89" s="425"/>
      <c r="AF89" s="407"/>
      <c r="AG89" s="134"/>
      <c r="AH89" s="478"/>
      <c r="AI89" s="479"/>
      <c r="AJ89" s="479"/>
      <c r="AK89" s="479"/>
      <c r="AL89" s="479"/>
      <c r="AM89" s="480"/>
      <c r="AO89" s="469"/>
      <c r="AP89" s="425"/>
      <c r="AQ89" s="425"/>
      <c r="AR89" s="425"/>
      <c r="AS89" s="425"/>
      <c r="AT89" s="425"/>
      <c r="AU89" s="425"/>
      <c r="AV89" s="425"/>
      <c r="AW89" s="425"/>
      <c r="AX89" s="425"/>
      <c r="AY89" s="425"/>
      <c r="AZ89" s="425"/>
      <c r="BA89" s="425"/>
      <c r="BB89" s="425"/>
      <c r="BC89" s="425"/>
      <c r="BD89" s="425"/>
      <c r="BE89" s="425"/>
      <c r="BF89" s="425"/>
      <c r="BG89" s="468"/>
    </row>
    <row r="90" spans="1:60" x14ac:dyDescent="0.25">
      <c r="A90"/>
      <c r="B90" s="455"/>
      <c r="C90" s="456" t="s">
        <v>715</v>
      </c>
      <c r="E90" s="424"/>
      <c r="F90" s="443"/>
      <c r="G90" s="462"/>
      <c r="H90" s="443"/>
      <c r="I90" s="443"/>
      <c r="J90" s="443"/>
      <c r="K90" s="443"/>
      <c r="L90" s="463"/>
      <c r="M90" s="443"/>
      <c r="N90" s="462"/>
      <c r="O90" s="443"/>
      <c r="P90" s="443"/>
      <c r="Q90" s="443"/>
      <c r="R90" s="443"/>
      <c r="S90" s="443"/>
      <c r="T90" s="463"/>
      <c r="U90" s="443"/>
      <c r="V90" s="462"/>
      <c r="W90" s="443"/>
      <c r="X90" s="443"/>
      <c r="Y90" s="443"/>
      <c r="Z90" s="443"/>
      <c r="AA90" s="443"/>
      <c r="AB90" s="443"/>
      <c r="AC90" s="443"/>
      <c r="AD90" s="443"/>
      <c r="AE90" s="443"/>
      <c r="AF90" s="434"/>
      <c r="AG90" s="134"/>
      <c r="AH90" s="481"/>
      <c r="AI90" s="482"/>
      <c r="AJ90" s="482"/>
      <c r="AK90" s="482"/>
      <c r="AL90" s="482"/>
      <c r="AM90" s="483"/>
      <c r="AN90" s="443"/>
      <c r="AO90" s="462"/>
      <c r="AP90" s="443"/>
      <c r="AQ90" s="443"/>
      <c r="AR90" s="443"/>
      <c r="AS90" s="443"/>
      <c r="AT90" s="443"/>
      <c r="AU90" s="443"/>
      <c r="AV90" s="443"/>
      <c r="AW90" s="443"/>
      <c r="AX90" s="443"/>
      <c r="AY90" s="443"/>
      <c r="AZ90" s="443"/>
      <c r="BA90" s="443"/>
      <c r="BB90" s="443"/>
      <c r="BC90" s="443"/>
      <c r="BD90" s="443"/>
      <c r="BE90" s="443"/>
      <c r="BF90" s="443"/>
      <c r="BG90" s="463"/>
      <c r="BH90" s="443"/>
    </row>
    <row r="91" spans="1:60" x14ac:dyDescent="0.25">
      <c r="A91"/>
      <c r="B91" s="455"/>
      <c r="C91" s="456" t="s">
        <v>716</v>
      </c>
      <c r="E91" s="424"/>
      <c r="F91" s="443"/>
      <c r="G91" s="462"/>
      <c r="H91" s="443"/>
      <c r="I91" s="443"/>
      <c r="J91" s="443"/>
      <c r="K91" s="443"/>
      <c r="L91" s="463"/>
      <c r="M91" s="443"/>
      <c r="N91" s="462"/>
      <c r="O91" s="443"/>
      <c r="P91" s="443"/>
      <c r="Q91" s="443"/>
      <c r="R91" s="443"/>
      <c r="S91" s="443"/>
      <c r="T91" s="463"/>
      <c r="U91" s="443"/>
      <c r="V91" s="462"/>
      <c r="W91" s="443"/>
      <c r="X91" s="443"/>
      <c r="Y91" s="443"/>
      <c r="Z91" s="443"/>
      <c r="AA91" s="443"/>
      <c r="AB91" s="443"/>
      <c r="AC91" s="443"/>
      <c r="AD91" s="443"/>
      <c r="AE91" s="443"/>
      <c r="AF91" s="434"/>
      <c r="AG91" s="134"/>
      <c r="AH91" s="481"/>
      <c r="AI91" s="482"/>
      <c r="AJ91" s="482"/>
      <c r="AK91" s="482"/>
      <c r="AL91" s="482"/>
      <c r="AM91" s="483"/>
      <c r="AN91" s="443"/>
      <c r="AO91" s="462"/>
      <c r="AP91" s="443"/>
      <c r="AQ91" s="443"/>
      <c r="AR91" s="443"/>
      <c r="AS91" s="443"/>
      <c r="AT91" s="443"/>
      <c r="AU91" s="443"/>
      <c r="AV91" s="443"/>
      <c r="AW91" s="443"/>
      <c r="AX91" s="443"/>
      <c r="AY91" s="443"/>
      <c r="AZ91" s="443"/>
      <c r="BA91" s="443"/>
      <c r="BB91" s="443"/>
      <c r="BC91" s="443"/>
      <c r="BD91" s="443"/>
      <c r="BE91" s="443"/>
      <c r="BF91" s="443"/>
      <c r="BG91" s="463"/>
      <c r="BH91" s="443"/>
    </row>
    <row r="92" spans="1:60" x14ac:dyDescent="0.25">
      <c r="A92"/>
      <c r="B92" s="457"/>
      <c r="C92" s="458" t="s">
        <v>717</v>
      </c>
      <c r="E92" s="410"/>
      <c r="F92" s="443"/>
      <c r="G92" s="464"/>
      <c r="H92" s="437"/>
      <c r="I92" s="437"/>
      <c r="J92" s="437"/>
      <c r="K92" s="437"/>
      <c r="L92" s="465"/>
      <c r="M92" s="443"/>
      <c r="N92" s="464"/>
      <c r="O92" s="437"/>
      <c r="P92" s="437"/>
      <c r="Q92" s="437"/>
      <c r="R92" s="437"/>
      <c r="S92" s="437"/>
      <c r="T92" s="465"/>
      <c r="U92" s="443"/>
      <c r="V92" s="464"/>
      <c r="W92" s="437"/>
      <c r="X92" s="437"/>
      <c r="Y92" s="437"/>
      <c r="Z92" s="437"/>
      <c r="AA92" s="437"/>
      <c r="AB92" s="437"/>
      <c r="AC92" s="437"/>
      <c r="AD92" s="437"/>
      <c r="AE92" s="437"/>
      <c r="AF92" s="440"/>
      <c r="AG92" s="134"/>
      <c r="AH92" s="484"/>
      <c r="AI92" s="485"/>
      <c r="AJ92" s="485"/>
      <c r="AK92" s="485"/>
      <c r="AL92" s="485"/>
      <c r="AM92" s="486"/>
      <c r="AN92" s="443"/>
      <c r="AO92" s="464"/>
      <c r="AP92" s="437"/>
      <c r="AQ92" s="437"/>
      <c r="AR92" s="437"/>
      <c r="AS92" s="437"/>
      <c r="AT92" s="437"/>
      <c r="AU92" s="437"/>
      <c r="AV92" s="437"/>
      <c r="AW92" s="437"/>
      <c r="AX92" s="437"/>
      <c r="AY92" s="437"/>
      <c r="AZ92" s="437"/>
      <c r="BA92" s="437"/>
      <c r="BB92" s="437"/>
      <c r="BC92" s="437"/>
      <c r="BD92" s="437"/>
      <c r="BE92" s="437"/>
      <c r="BF92" s="437"/>
      <c r="BG92" s="465"/>
      <c r="BH92" s="443"/>
    </row>
    <row r="93" spans="1:60" s="443" customFormat="1" x14ac:dyDescent="0.25">
      <c r="A93" s="134"/>
      <c r="B93" s="460" t="s">
        <v>736</v>
      </c>
      <c r="C93" s="454" t="s">
        <v>714</v>
      </c>
      <c r="E93" s="424"/>
      <c r="G93" s="462"/>
      <c r="L93" s="463"/>
      <c r="N93" s="462"/>
      <c r="T93" s="463"/>
      <c r="V93" s="462"/>
      <c r="AF93" s="434"/>
      <c r="AG93" s="134"/>
      <c r="AH93" s="481"/>
      <c r="AI93" s="482"/>
      <c r="AJ93" s="482"/>
      <c r="AK93" s="482"/>
      <c r="AL93" s="482"/>
      <c r="AM93" s="483"/>
      <c r="AO93" s="462"/>
      <c r="BG93" s="463"/>
    </row>
    <row r="94" spans="1:60" x14ac:dyDescent="0.25">
      <c r="A94"/>
      <c r="B94" s="455"/>
      <c r="C94" s="456" t="s">
        <v>715</v>
      </c>
      <c r="E94" s="424"/>
      <c r="F94" s="443"/>
      <c r="G94" s="462"/>
      <c r="H94" s="443"/>
      <c r="I94" s="443"/>
      <c r="J94" s="443"/>
      <c r="K94" s="443"/>
      <c r="L94" s="463"/>
      <c r="M94" s="443"/>
      <c r="N94" s="462"/>
      <c r="O94" s="443"/>
      <c r="P94" s="443"/>
      <c r="Q94" s="443"/>
      <c r="R94" s="443"/>
      <c r="S94" s="443"/>
      <c r="T94" s="463"/>
      <c r="U94" s="443"/>
      <c r="V94" s="462"/>
      <c r="W94" s="443"/>
      <c r="X94" s="443"/>
      <c r="Y94" s="443"/>
      <c r="Z94" s="443"/>
      <c r="AA94" s="443"/>
      <c r="AB94" s="443"/>
      <c r="AC94" s="443"/>
      <c r="AD94" s="443"/>
      <c r="AE94" s="443"/>
      <c r="AF94" s="434"/>
      <c r="AG94" s="134"/>
      <c r="AH94" s="481"/>
      <c r="AI94" s="482"/>
      <c r="AJ94" s="482"/>
      <c r="AK94" s="482"/>
      <c r="AL94" s="482"/>
      <c r="AM94" s="483"/>
      <c r="AN94" s="443"/>
      <c r="AO94" s="462"/>
      <c r="AP94" s="443"/>
      <c r="AQ94" s="443"/>
      <c r="AR94" s="443"/>
      <c r="AS94" s="443"/>
      <c r="AT94" s="443"/>
      <c r="AU94" s="443"/>
      <c r="AV94" s="443"/>
      <c r="AW94" s="443"/>
      <c r="AX94" s="443"/>
      <c r="AY94" s="443"/>
      <c r="AZ94" s="443"/>
      <c r="BA94" s="443"/>
      <c r="BB94" s="443"/>
      <c r="BC94" s="443"/>
      <c r="BD94" s="443"/>
      <c r="BE94" s="443"/>
      <c r="BF94" s="443"/>
      <c r="BG94" s="463"/>
      <c r="BH94" s="443"/>
    </row>
    <row r="95" spans="1:60" x14ac:dyDescent="0.25">
      <c r="A95"/>
      <c r="B95" s="455"/>
      <c r="C95" s="456" t="s">
        <v>716</v>
      </c>
      <c r="E95" s="424"/>
      <c r="F95" s="443"/>
      <c r="G95" s="462"/>
      <c r="H95" s="443"/>
      <c r="I95" s="443"/>
      <c r="J95" s="443"/>
      <c r="K95" s="443"/>
      <c r="L95" s="463"/>
      <c r="M95" s="443"/>
      <c r="N95" s="462"/>
      <c r="O95" s="443"/>
      <c r="P95" s="443"/>
      <c r="Q95" s="443"/>
      <c r="R95" s="443"/>
      <c r="S95" s="443"/>
      <c r="T95" s="463"/>
      <c r="U95" s="443"/>
      <c r="V95" s="462"/>
      <c r="W95" s="443"/>
      <c r="X95" s="443"/>
      <c r="Y95" s="443"/>
      <c r="Z95" s="443"/>
      <c r="AA95" s="443"/>
      <c r="AB95" s="443"/>
      <c r="AC95" s="443"/>
      <c r="AD95" s="443"/>
      <c r="AE95" s="443"/>
      <c r="AF95" s="434"/>
      <c r="AG95" s="134"/>
      <c r="AH95" s="481"/>
      <c r="AI95" s="482"/>
      <c r="AJ95" s="482"/>
      <c r="AK95" s="482"/>
      <c r="AL95" s="482"/>
      <c r="AM95" s="483"/>
      <c r="AN95" s="443"/>
      <c r="AO95" s="462"/>
      <c r="AP95" s="443"/>
      <c r="AQ95" s="443"/>
      <c r="AR95" s="443"/>
      <c r="AS95" s="443"/>
      <c r="AT95" s="443"/>
      <c r="AU95" s="443"/>
      <c r="AV95" s="443"/>
      <c r="AW95" s="443"/>
      <c r="AX95" s="443"/>
      <c r="AY95" s="443"/>
      <c r="AZ95" s="443"/>
      <c r="BA95" s="443"/>
      <c r="BB95" s="443"/>
      <c r="BC95" s="443"/>
      <c r="BD95" s="443"/>
      <c r="BE95" s="443"/>
      <c r="BF95" s="443"/>
      <c r="BG95" s="463"/>
      <c r="BH95" s="443"/>
    </row>
    <row r="96" spans="1:60" x14ac:dyDescent="0.25">
      <c r="A96"/>
      <c r="B96" s="455"/>
      <c r="C96" s="458" t="s">
        <v>717</v>
      </c>
      <c r="E96" s="410"/>
      <c r="F96" s="443"/>
      <c r="G96" s="464"/>
      <c r="H96" s="443"/>
      <c r="I96" s="443"/>
      <c r="J96" s="443"/>
      <c r="K96" s="443"/>
      <c r="L96" s="465"/>
      <c r="M96" s="443"/>
      <c r="N96" s="464"/>
      <c r="O96" s="437"/>
      <c r="P96" s="437"/>
      <c r="Q96" s="437"/>
      <c r="R96" s="437"/>
      <c r="S96" s="437"/>
      <c r="T96" s="465"/>
      <c r="U96" s="437"/>
      <c r="V96" s="464"/>
      <c r="W96" s="437"/>
      <c r="X96" s="437"/>
      <c r="Y96" s="437"/>
      <c r="Z96" s="437"/>
      <c r="AA96" s="437"/>
      <c r="AB96" s="437"/>
      <c r="AC96" s="437"/>
      <c r="AD96" s="437"/>
      <c r="AE96" s="437"/>
      <c r="AF96" s="440"/>
      <c r="AG96" s="134"/>
      <c r="AH96" s="484"/>
      <c r="AI96" s="485"/>
      <c r="AJ96" s="485"/>
      <c r="AK96" s="485"/>
      <c r="AL96" s="485"/>
      <c r="AM96" s="486"/>
      <c r="AN96" s="443"/>
      <c r="AO96" s="464"/>
      <c r="AP96" s="437"/>
      <c r="AQ96" s="437"/>
      <c r="AR96" s="437"/>
      <c r="AS96" s="437"/>
      <c r="AT96" s="437"/>
      <c r="AU96" s="437"/>
      <c r="AV96" s="437"/>
      <c r="AW96" s="437"/>
      <c r="AX96" s="437"/>
      <c r="AY96" s="437"/>
      <c r="AZ96" s="437"/>
      <c r="BA96" s="437"/>
      <c r="BB96" s="437"/>
      <c r="BC96" s="437"/>
      <c r="BD96" s="437"/>
      <c r="BE96" s="437"/>
      <c r="BF96" s="437"/>
      <c r="BG96" s="465"/>
      <c r="BH96" s="443"/>
    </row>
    <row r="97" spans="1:60" s="443" customFormat="1" x14ac:dyDescent="0.25">
      <c r="A97" s="134"/>
      <c r="B97" s="460" t="s">
        <v>737</v>
      </c>
      <c r="C97" s="454" t="s">
        <v>714</v>
      </c>
      <c r="E97" s="424"/>
      <c r="G97" s="462"/>
      <c r="H97" s="425"/>
      <c r="I97" s="545"/>
      <c r="J97" s="545"/>
      <c r="K97" s="545"/>
      <c r="L97" s="463"/>
      <c r="N97" s="462"/>
      <c r="T97" s="463"/>
      <c r="V97" s="462"/>
      <c r="AF97" s="434"/>
      <c r="AG97" s="134"/>
      <c r="AH97" s="481"/>
      <c r="AI97" s="482"/>
      <c r="AJ97" s="482"/>
      <c r="AK97" s="482"/>
      <c r="AL97" s="482"/>
      <c r="AM97" s="483"/>
      <c r="AO97" s="462"/>
      <c r="BG97" s="463"/>
    </row>
    <row r="98" spans="1:60" x14ac:dyDescent="0.25">
      <c r="A98"/>
      <c r="B98" s="455"/>
      <c r="C98" s="456" t="s">
        <v>715</v>
      </c>
      <c r="E98" s="424"/>
      <c r="F98" s="443"/>
      <c r="G98" s="462"/>
      <c r="H98" s="443"/>
      <c r="I98" s="443"/>
      <c r="J98" s="443"/>
      <c r="K98" s="443"/>
      <c r="L98" s="463"/>
      <c r="M98" s="443"/>
      <c r="N98" s="462"/>
      <c r="O98" s="443"/>
      <c r="P98" s="443"/>
      <c r="Q98" s="443"/>
      <c r="R98" s="443"/>
      <c r="S98" s="443"/>
      <c r="T98" s="463"/>
      <c r="U98" s="443"/>
      <c r="V98" s="462"/>
      <c r="W98" s="443"/>
      <c r="X98" s="443"/>
      <c r="Y98" s="443"/>
      <c r="Z98" s="443"/>
      <c r="AA98" s="443"/>
      <c r="AB98" s="443"/>
      <c r="AC98" s="443"/>
      <c r="AD98" s="443"/>
      <c r="AE98" s="443"/>
      <c r="AF98" s="434"/>
      <c r="AG98" s="134"/>
      <c r="AH98" s="481"/>
      <c r="AI98" s="482"/>
      <c r="AJ98" s="482"/>
      <c r="AK98" s="482"/>
      <c r="AL98" s="482"/>
      <c r="AM98" s="483"/>
      <c r="AN98" s="443"/>
      <c r="AO98" s="462"/>
      <c r="AP98" s="443"/>
      <c r="AQ98" s="443"/>
      <c r="AR98" s="443"/>
      <c r="AS98" s="443"/>
      <c r="AT98" s="443"/>
      <c r="AU98" s="443"/>
      <c r="AV98" s="443"/>
      <c r="AW98" s="443"/>
      <c r="AX98" s="443"/>
      <c r="AY98" s="443"/>
      <c r="AZ98" s="443"/>
      <c r="BA98" s="443"/>
      <c r="BB98" s="443"/>
      <c r="BC98" s="443"/>
      <c r="BD98" s="443"/>
      <c r="BE98" s="443"/>
      <c r="BF98" s="443"/>
      <c r="BG98" s="463"/>
      <c r="BH98" s="443"/>
    </row>
    <row r="99" spans="1:60" x14ac:dyDescent="0.25">
      <c r="A99"/>
      <c r="B99" s="455"/>
      <c r="C99" s="456" t="s">
        <v>716</v>
      </c>
      <c r="E99" s="424"/>
      <c r="F99" s="443"/>
      <c r="G99" s="462"/>
      <c r="H99" s="443"/>
      <c r="I99" s="443"/>
      <c r="J99" s="443"/>
      <c r="K99" s="443"/>
      <c r="L99" s="463"/>
      <c r="M99" s="443"/>
      <c r="N99" s="462"/>
      <c r="O99" s="443"/>
      <c r="P99" s="443"/>
      <c r="Q99" s="443"/>
      <c r="R99" s="443"/>
      <c r="S99" s="443"/>
      <c r="T99" s="463"/>
      <c r="U99" s="443"/>
      <c r="V99" s="462"/>
      <c r="W99" s="443"/>
      <c r="X99" s="443"/>
      <c r="Y99" s="443"/>
      <c r="Z99" s="443"/>
      <c r="AA99" s="443"/>
      <c r="AB99" s="443"/>
      <c r="AC99" s="443"/>
      <c r="AD99" s="443"/>
      <c r="AE99" s="443"/>
      <c r="AF99" s="434"/>
      <c r="AG99" s="134"/>
      <c r="AH99" s="481"/>
      <c r="AI99" s="482"/>
      <c r="AJ99" s="482"/>
      <c r="AK99" s="482"/>
      <c r="AL99" s="482"/>
      <c r="AM99" s="483"/>
      <c r="AN99" s="443"/>
      <c r="AO99" s="462"/>
      <c r="AP99" s="443"/>
      <c r="AQ99" s="443"/>
      <c r="AR99" s="443"/>
      <c r="AS99" s="443"/>
      <c r="AT99" s="443"/>
      <c r="AU99" s="443"/>
      <c r="AV99" s="443"/>
      <c r="AW99" s="443"/>
      <c r="AX99" s="443"/>
      <c r="AY99" s="443"/>
      <c r="AZ99" s="443"/>
      <c r="BA99" s="443"/>
      <c r="BB99" s="443"/>
      <c r="BC99" s="443"/>
      <c r="BD99" s="443"/>
      <c r="BE99" s="443"/>
      <c r="BF99" s="443"/>
      <c r="BG99" s="463"/>
      <c r="BH99" s="443"/>
    </row>
    <row r="100" spans="1:60" x14ac:dyDescent="0.25">
      <c r="A100"/>
      <c r="B100" s="455"/>
      <c r="C100" s="458" t="s">
        <v>717</v>
      </c>
      <c r="E100" s="424"/>
      <c r="F100" s="443"/>
      <c r="G100" s="462"/>
      <c r="H100" s="443"/>
      <c r="I100" s="443"/>
      <c r="J100" s="443"/>
      <c r="K100" s="443"/>
      <c r="L100" s="463"/>
      <c r="M100" s="443"/>
      <c r="N100" s="462"/>
      <c r="O100" s="443"/>
      <c r="P100" s="443"/>
      <c r="Q100" s="443"/>
      <c r="R100" s="443"/>
      <c r="S100" s="443"/>
      <c r="T100" s="463"/>
      <c r="U100" s="443"/>
      <c r="V100" s="462"/>
      <c r="W100" s="443"/>
      <c r="X100" s="443"/>
      <c r="Y100" s="443"/>
      <c r="Z100" s="443"/>
      <c r="AA100" s="443"/>
      <c r="AB100" s="443"/>
      <c r="AC100" s="443"/>
      <c r="AD100" s="443"/>
      <c r="AE100" s="443"/>
      <c r="AF100" s="440"/>
      <c r="AG100" s="134"/>
      <c r="AH100" s="481"/>
      <c r="AI100" s="482"/>
      <c r="AJ100" s="482"/>
      <c r="AK100" s="482"/>
      <c r="AL100" s="482"/>
      <c r="AM100" s="483"/>
      <c r="AN100" s="443"/>
      <c r="AO100" s="462"/>
      <c r="AP100" s="443"/>
      <c r="AQ100" s="443"/>
      <c r="AR100" s="443"/>
      <c r="AS100" s="443"/>
      <c r="AT100" s="443"/>
      <c r="AU100" s="443"/>
      <c r="AV100" s="443"/>
      <c r="AW100" s="443"/>
      <c r="AX100" s="443"/>
      <c r="AY100" s="443"/>
      <c r="AZ100" s="443"/>
      <c r="BA100" s="443"/>
      <c r="BB100" s="443"/>
      <c r="BC100" s="443"/>
      <c r="BD100" s="443"/>
      <c r="BE100" s="443"/>
      <c r="BF100" s="443"/>
      <c r="BG100" s="463"/>
      <c r="BH100" s="443"/>
    </row>
    <row r="101" spans="1:60" s="443" customFormat="1" x14ac:dyDescent="0.25">
      <c r="A101" s="134"/>
      <c r="B101" s="459" t="s">
        <v>738</v>
      </c>
      <c r="C101" s="454" t="s">
        <v>714</v>
      </c>
      <c r="E101" s="408"/>
      <c r="G101" s="469"/>
      <c r="H101" s="425"/>
      <c r="I101" s="425"/>
      <c r="J101" s="425"/>
      <c r="K101" s="425"/>
      <c r="L101" s="468"/>
      <c r="N101" s="469"/>
      <c r="O101" s="425"/>
      <c r="P101" s="425"/>
      <c r="Q101" s="425"/>
      <c r="R101" s="425"/>
      <c r="S101" s="425"/>
      <c r="T101" s="468"/>
      <c r="V101" s="469"/>
      <c r="W101" s="425"/>
      <c r="X101" s="425"/>
      <c r="Y101" s="425"/>
      <c r="Z101" s="425"/>
      <c r="AA101" s="425"/>
      <c r="AB101" s="425"/>
      <c r="AC101" s="425"/>
      <c r="AD101" s="425"/>
      <c r="AE101" s="425"/>
      <c r="AF101" s="407"/>
      <c r="AG101" s="134"/>
      <c r="AH101" s="478"/>
      <c r="AI101" s="479"/>
      <c r="AJ101" s="479"/>
      <c r="AK101" s="479"/>
      <c r="AL101" s="479"/>
      <c r="AM101" s="480"/>
      <c r="AO101" s="469"/>
      <c r="AP101" s="425"/>
      <c r="AQ101" s="425"/>
      <c r="AR101" s="425"/>
      <c r="AS101" s="425"/>
      <c r="AT101" s="425"/>
      <c r="AU101" s="425"/>
      <c r="AV101" s="425"/>
      <c r="AW101" s="425"/>
      <c r="AX101" s="425"/>
      <c r="AY101" s="425"/>
      <c r="AZ101" s="425"/>
      <c r="BA101" s="425"/>
      <c r="BB101" s="425"/>
      <c r="BC101" s="425"/>
      <c r="BD101" s="425"/>
      <c r="BE101" s="425"/>
      <c r="BF101" s="425"/>
      <c r="BG101" s="468"/>
    </row>
    <row r="102" spans="1:60" x14ac:dyDescent="0.25">
      <c r="A102"/>
      <c r="B102" s="455"/>
      <c r="C102" s="456" t="s">
        <v>715</v>
      </c>
      <c r="E102" s="424"/>
      <c r="F102" s="443"/>
      <c r="G102" s="462"/>
      <c r="H102" s="443"/>
      <c r="I102" s="443"/>
      <c r="J102" s="443"/>
      <c r="K102" s="443"/>
      <c r="L102" s="463"/>
      <c r="M102" s="443"/>
      <c r="N102" s="462"/>
      <c r="O102" s="443"/>
      <c r="P102" s="443"/>
      <c r="Q102" s="443"/>
      <c r="R102" s="443"/>
      <c r="S102" s="443"/>
      <c r="T102" s="463"/>
      <c r="U102" s="443"/>
      <c r="V102" s="462"/>
      <c r="W102" s="443"/>
      <c r="X102" s="443"/>
      <c r="Y102" s="443"/>
      <c r="Z102" s="443"/>
      <c r="AA102" s="443"/>
      <c r="AB102" s="443"/>
      <c r="AC102" s="443"/>
      <c r="AD102" s="443"/>
      <c r="AE102" s="443"/>
      <c r="AF102" s="434"/>
      <c r="AG102" s="134"/>
      <c r="AH102" s="481"/>
      <c r="AI102" s="482"/>
      <c r="AJ102" s="482"/>
      <c r="AK102" s="482"/>
      <c r="AL102" s="482"/>
      <c r="AM102" s="483"/>
      <c r="AN102" s="443"/>
      <c r="AO102" s="462"/>
      <c r="AP102" s="443"/>
      <c r="AQ102" s="443"/>
      <c r="AR102" s="443"/>
      <c r="AS102" s="443"/>
      <c r="AT102" s="443"/>
      <c r="AU102" s="443"/>
      <c r="AV102" s="443"/>
      <c r="AW102" s="443"/>
      <c r="AX102" s="443"/>
      <c r="AY102" s="443"/>
      <c r="AZ102" s="443"/>
      <c r="BA102" s="443"/>
      <c r="BB102" s="443"/>
      <c r="BC102" s="443"/>
      <c r="BD102" s="443"/>
      <c r="BE102" s="443"/>
      <c r="BF102" s="443"/>
      <c r="BG102" s="463"/>
      <c r="BH102" s="443"/>
    </row>
    <row r="103" spans="1:60" x14ac:dyDescent="0.25">
      <c r="A103"/>
      <c r="B103" s="455"/>
      <c r="C103" s="456" t="s">
        <v>716</v>
      </c>
      <c r="E103" s="424"/>
      <c r="F103" s="443"/>
      <c r="G103" s="462"/>
      <c r="H103" s="443"/>
      <c r="I103" s="443"/>
      <c r="J103" s="443"/>
      <c r="K103" s="443"/>
      <c r="L103" s="463"/>
      <c r="M103" s="443"/>
      <c r="N103" s="462"/>
      <c r="O103" s="443"/>
      <c r="P103" s="443"/>
      <c r="Q103" s="443"/>
      <c r="R103" s="443"/>
      <c r="S103" s="443"/>
      <c r="T103" s="463"/>
      <c r="U103" s="443"/>
      <c r="V103" s="462"/>
      <c r="W103" s="443"/>
      <c r="X103" s="443"/>
      <c r="Y103" s="443"/>
      <c r="Z103" s="443"/>
      <c r="AA103" s="443"/>
      <c r="AB103" s="443"/>
      <c r="AC103" s="443"/>
      <c r="AD103" s="443"/>
      <c r="AE103" s="443"/>
      <c r="AF103" s="434"/>
      <c r="AG103" s="134"/>
      <c r="AH103" s="481"/>
      <c r="AI103" s="482"/>
      <c r="AJ103" s="482"/>
      <c r="AK103" s="482"/>
      <c r="AL103" s="482"/>
      <c r="AM103" s="483"/>
      <c r="AN103" s="443"/>
      <c r="AO103" s="462"/>
      <c r="AP103" s="443"/>
      <c r="AQ103" s="443"/>
      <c r="AR103" s="443"/>
      <c r="AS103" s="443"/>
      <c r="AT103" s="443"/>
      <c r="AU103" s="443"/>
      <c r="AV103" s="443"/>
      <c r="AW103" s="443"/>
      <c r="AX103" s="443"/>
      <c r="AY103" s="443"/>
      <c r="AZ103" s="443"/>
      <c r="BA103" s="443"/>
      <c r="BB103" s="443"/>
      <c r="BC103" s="443"/>
      <c r="BD103" s="443"/>
      <c r="BE103" s="443"/>
      <c r="BF103" s="443"/>
      <c r="BG103" s="463"/>
      <c r="BH103" s="443"/>
    </row>
    <row r="104" spans="1:60" x14ac:dyDescent="0.25">
      <c r="A104"/>
      <c r="B104" s="457"/>
      <c r="C104" s="458" t="s">
        <v>717</v>
      </c>
      <c r="E104" s="410"/>
      <c r="F104" s="443"/>
      <c r="G104" s="464"/>
      <c r="H104" s="437"/>
      <c r="I104" s="437"/>
      <c r="J104" s="437"/>
      <c r="K104" s="437"/>
      <c r="L104" s="465"/>
      <c r="M104" s="443"/>
      <c r="N104" s="464"/>
      <c r="O104" s="437"/>
      <c r="P104" s="437"/>
      <c r="Q104" s="437"/>
      <c r="R104" s="437"/>
      <c r="S104" s="437"/>
      <c r="T104" s="465"/>
      <c r="U104" s="443"/>
      <c r="V104" s="464"/>
      <c r="W104" s="437"/>
      <c r="X104" s="437"/>
      <c r="Y104" s="437"/>
      <c r="Z104" s="437"/>
      <c r="AA104" s="437"/>
      <c r="AB104" s="437"/>
      <c r="AC104" s="437"/>
      <c r="AD104" s="437"/>
      <c r="AE104" s="437"/>
      <c r="AF104" s="440"/>
      <c r="AG104" s="134"/>
      <c r="AH104" s="484"/>
      <c r="AI104" s="485"/>
      <c r="AJ104" s="485"/>
      <c r="AK104" s="485"/>
      <c r="AL104" s="485"/>
      <c r="AM104" s="486"/>
      <c r="AN104" s="443"/>
      <c r="AO104" s="464"/>
      <c r="AP104" s="437"/>
      <c r="AQ104" s="437"/>
      <c r="AR104" s="437"/>
      <c r="AS104" s="437"/>
      <c r="AT104" s="437"/>
      <c r="AU104" s="437"/>
      <c r="AV104" s="437"/>
      <c r="AW104" s="437"/>
      <c r="AX104" s="437"/>
      <c r="AY104" s="437"/>
      <c r="AZ104" s="437"/>
      <c r="BA104" s="437"/>
      <c r="BB104" s="437"/>
      <c r="BC104" s="437"/>
      <c r="BD104" s="437"/>
      <c r="BE104" s="437"/>
      <c r="BF104" s="437"/>
      <c r="BG104" s="465"/>
      <c r="BH104" s="443"/>
    </row>
    <row r="105" spans="1:60" s="443" customFormat="1" x14ac:dyDescent="0.25">
      <c r="A105" s="134"/>
      <c r="B105" s="459" t="s">
        <v>739</v>
      </c>
      <c r="C105" s="454" t="s">
        <v>714</v>
      </c>
      <c r="E105" s="408"/>
      <c r="G105" s="469"/>
      <c r="H105" s="425"/>
      <c r="I105" s="425"/>
      <c r="J105" s="425"/>
      <c r="K105" s="425"/>
      <c r="L105" s="468"/>
      <c r="N105" s="469"/>
      <c r="O105" s="425"/>
      <c r="P105" s="425"/>
      <c r="Q105" s="425"/>
      <c r="R105" s="425"/>
      <c r="S105" s="425"/>
      <c r="T105" s="468"/>
      <c r="V105" s="469"/>
      <c r="W105" s="425"/>
      <c r="X105" s="425"/>
      <c r="Y105" s="425"/>
      <c r="Z105" s="425"/>
      <c r="AA105" s="425"/>
      <c r="AB105" s="425"/>
      <c r="AC105" s="425"/>
      <c r="AD105" s="425"/>
      <c r="AE105" s="425"/>
      <c r="AF105" s="407"/>
      <c r="AG105" s="134"/>
      <c r="AH105" s="478"/>
      <c r="AI105" s="479"/>
      <c r="AJ105" s="479"/>
      <c r="AK105" s="479"/>
      <c r="AL105" s="479"/>
      <c r="AM105" s="480"/>
      <c r="AO105" s="469"/>
      <c r="AP105" s="425"/>
      <c r="AQ105" s="425"/>
      <c r="AR105" s="425"/>
      <c r="AS105" s="425"/>
      <c r="AT105" s="425"/>
      <c r="AU105" s="425"/>
      <c r="AV105" s="425"/>
      <c r="AW105" s="425"/>
      <c r="AX105" s="425"/>
      <c r="AY105" s="425"/>
      <c r="AZ105" s="425"/>
      <c r="BA105" s="425"/>
      <c r="BB105" s="425"/>
      <c r="BC105" s="425"/>
      <c r="BD105" s="425"/>
      <c r="BE105" s="425"/>
      <c r="BF105" s="425"/>
      <c r="BG105" s="468"/>
    </row>
    <row r="106" spans="1:60" x14ac:dyDescent="0.25">
      <c r="A106"/>
      <c r="B106" s="455"/>
      <c r="C106" s="456" t="s">
        <v>715</v>
      </c>
      <c r="E106" s="424"/>
      <c r="F106" s="443"/>
      <c r="G106" s="462"/>
      <c r="H106" s="443"/>
      <c r="I106" s="443"/>
      <c r="J106" s="443"/>
      <c r="K106" s="443"/>
      <c r="L106" s="463"/>
      <c r="M106" s="443"/>
      <c r="N106" s="462"/>
      <c r="O106" s="443"/>
      <c r="P106" s="443"/>
      <c r="Q106" s="443"/>
      <c r="R106" s="443"/>
      <c r="S106" s="443"/>
      <c r="T106" s="463"/>
      <c r="U106" s="443"/>
      <c r="V106" s="462"/>
      <c r="W106" s="443"/>
      <c r="X106" s="443"/>
      <c r="Y106" s="443"/>
      <c r="Z106" s="443"/>
      <c r="AA106" s="443"/>
      <c r="AB106" s="443"/>
      <c r="AC106" s="443"/>
      <c r="AD106" s="443"/>
      <c r="AE106" s="443"/>
      <c r="AF106" s="434"/>
      <c r="AG106" s="134"/>
      <c r="AH106" s="481"/>
      <c r="AI106" s="482"/>
      <c r="AJ106" s="482"/>
      <c r="AK106" s="482"/>
      <c r="AL106" s="482"/>
      <c r="AM106" s="483"/>
      <c r="AN106" s="443"/>
      <c r="AO106" s="462"/>
      <c r="AP106" s="443"/>
      <c r="AQ106" s="443"/>
      <c r="AR106" s="443"/>
      <c r="AS106" s="443"/>
      <c r="AT106" s="443"/>
      <c r="AU106" s="443"/>
      <c r="AV106" s="443"/>
      <c r="AW106" s="443"/>
      <c r="AX106" s="443"/>
      <c r="AY106" s="443"/>
      <c r="AZ106" s="443"/>
      <c r="BA106" s="443"/>
      <c r="BB106" s="443"/>
      <c r="BC106" s="443"/>
      <c r="BD106" s="443"/>
      <c r="BE106" s="443"/>
      <c r="BF106" s="443"/>
      <c r="BG106" s="463"/>
      <c r="BH106" s="443"/>
    </row>
    <row r="107" spans="1:60" x14ac:dyDescent="0.25">
      <c r="A107"/>
      <c r="B107" s="455"/>
      <c r="C107" s="456" t="s">
        <v>716</v>
      </c>
      <c r="E107" s="424"/>
      <c r="F107" s="443"/>
      <c r="G107" s="462"/>
      <c r="H107" s="443"/>
      <c r="I107" s="443"/>
      <c r="J107" s="443"/>
      <c r="K107" s="443"/>
      <c r="L107" s="463"/>
      <c r="M107" s="443"/>
      <c r="N107" s="462"/>
      <c r="O107" s="443"/>
      <c r="P107" s="443"/>
      <c r="Q107" s="443"/>
      <c r="R107" s="443"/>
      <c r="S107" s="443"/>
      <c r="T107" s="463"/>
      <c r="U107" s="443"/>
      <c r="V107" s="462"/>
      <c r="W107" s="443"/>
      <c r="X107" s="443"/>
      <c r="Y107" s="443"/>
      <c r="Z107" s="443"/>
      <c r="AA107" s="443"/>
      <c r="AB107" s="443"/>
      <c r="AC107" s="443"/>
      <c r="AD107" s="443"/>
      <c r="AE107" s="443"/>
      <c r="AF107" s="434"/>
      <c r="AG107" s="134"/>
      <c r="AH107" s="481"/>
      <c r="AI107" s="482"/>
      <c r="AJ107" s="482"/>
      <c r="AK107" s="482"/>
      <c r="AL107" s="482"/>
      <c r="AM107" s="483"/>
      <c r="AN107" s="443"/>
      <c r="AO107" s="462"/>
      <c r="AP107" s="443"/>
      <c r="AQ107" s="443"/>
      <c r="AR107" s="443"/>
      <c r="AS107" s="443"/>
      <c r="AT107" s="443"/>
      <c r="AU107" s="443"/>
      <c r="AV107" s="443"/>
      <c r="AW107" s="443"/>
      <c r="AX107" s="443"/>
      <c r="AY107" s="443"/>
      <c r="AZ107" s="443"/>
      <c r="BA107" s="443"/>
      <c r="BB107" s="443"/>
      <c r="BC107" s="443"/>
      <c r="BD107" s="443"/>
      <c r="BE107" s="443"/>
      <c r="BF107" s="443"/>
      <c r="BG107" s="463"/>
      <c r="BH107" s="443"/>
    </row>
    <row r="108" spans="1:60" x14ac:dyDescent="0.25">
      <c r="A108"/>
      <c r="B108" s="457"/>
      <c r="C108" s="458" t="s">
        <v>717</v>
      </c>
      <c r="E108" s="410"/>
      <c r="F108" s="443"/>
      <c r="G108" s="464"/>
      <c r="H108" s="437"/>
      <c r="I108" s="437"/>
      <c r="J108" s="437"/>
      <c r="K108" s="437"/>
      <c r="L108" s="465"/>
      <c r="M108" s="443"/>
      <c r="N108" s="464"/>
      <c r="O108" s="437"/>
      <c r="P108" s="437"/>
      <c r="Q108" s="437"/>
      <c r="R108" s="437"/>
      <c r="S108" s="437"/>
      <c r="T108" s="465"/>
      <c r="U108" s="443"/>
      <c r="V108" s="464"/>
      <c r="W108" s="437"/>
      <c r="X108" s="437"/>
      <c r="Y108" s="437"/>
      <c r="Z108" s="437"/>
      <c r="AA108" s="437"/>
      <c r="AB108" s="437"/>
      <c r="AC108" s="437"/>
      <c r="AD108" s="437"/>
      <c r="AE108" s="437"/>
      <c r="AF108" s="440"/>
      <c r="AG108" s="134"/>
      <c r="AH108" s="484"/>
      <c r="AI108" s="485"/>
      <c r="AJ108" s="485"/>
      <c r="AK108" s="485"/>
      <c r="AL108" s="485"/>
      <c r="AM108" s="486"/>
      <c r="AN108" s="443"/>
      <c r="AO108" s="464"/>
      <c r="AP108" s="437"/>
      <c r="AQ108" s="437"/>
      <c r="AR108" s="437"/>
      <c r="AS108" s="437"/>
      <c r="AT108" s="437"/>
      <c r="AU108" s="437"/>
      <c r="AV108" s="437"/>
      <c r="AW108" s="437"/>
      <c r="AX108" s="437"/>
      <c r="AY108" s="437"/>
      <c r="AZ108" s="437"/>
      <c r="BA108" s="437"/>
      <c r="BB108" s="437"/>
      <c r="BC108" s="437"/>
      <c r="BD108" s="437"/>
      <c r="BE108" s="437"/>
      <c r="BF108" s="437"/>
      <c r="BG108" s="465"/>
      <c r="BH108" s="443"/>
    </row>
    <row r="109" spans="1:60" x14ac:dyDescent="0.25">
      <c r="A109"/>
      <c r="E109" s="443"/>
      <c r="F109" s="443"/>
      <c r="G109" s="443"/>
      <c r="H109" s="443"/>
      <c r="I109" s="443"/>
      <c r="J109" s="443"/>
      <c r="K109" s="443"/>
      <c r="L109" s="443"/>
      <c r="M109" s="443"/>
      <c r="N109" s="443"/>
      <c r="O109" s="443"/>
      <c r="P109" s="443"/>
      <c r="Q109" s="443"/>
      <c r="R109" s="443"/>
      <c r="S109" s="443"/>
      <c r="T109" s="443"/>
      <c r="U109" s="443"/>
      <c r="V109" s="443"/>
      <c r="W109" s="443"/>
      <c r="X109" s="443"/>
      <c r="Y109" s="443"/>
      <c r="Z109" s="443"/>
      <c r="AA109" s="443"/>
      <c r="AB109" s="443"/>
      <c r="AC109" s="443"/>
      <c r="AD109" s="443"/>
      <c r="AE109" s="443"/>
      <c r="AF109" s="134"/>
      <c r="AG109" s="134"/>
      <c r="AH109" s="482"/>
      <c r="AI109" s="482"/>
      <c r="AJ109" s="482"/>
      <c r="AK109" s="482"/>
      <c r="AL109" s="482"/>
      <c r="AM109" s="403"/>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row>
    <row r="110" spans="1:60" s="443" customFormat="1" x14ac:dyDescent="0.25">
      <c r="A110" s="134"/>
      <c r="B110" s="453" t="s">
        <v>740</v>
      </c>
      <c r="C110" s="454" t="s">
        <v>714</v>
      </c>
      <c r="E110" s="408" t="s">
        <v>768</v>
      </c>
      <c r="G110" s="469" t="s">
        <v>773</v>
      </c>
      <c r="H110" s="425"/>
      <c r="I110" s="425"/>
      <c r="J110" s="425"/>
      <c r="K110" s="425"/>
      <c r="L110" s="468"/>
      <c r="N110" s="469" t="s">
        <v>779</v>
      </c>
      <c r="O110" s="425"/>
      <c r="P110" s="425"/>
      <c r="Q110" s="425"/>
      <c r="R110" s="425"/>
      <c r="S110" s="425"/>
      <c r="T110" s="468"/>
      <c r="V110" s="469" t="s">
        <v>780</v>
      </c>
      <c r="W110" s="425"/>
      <c r="X110" s="425"/>
      <c r="Y110" s="425"/>
      <c r="Z110" s="425"/>
      <c r="AA110" s="425"/>
      <c r="AB110" s="425"/>
      <c r="AC110" s="425"/>
      <c r="AD110" s="425"/>
      <c r="AE110" s="425"/>
      <c r="AF110" s="407"/>
      <c r="AG110" s="134"/>
      <c r="AH110" s="478" t="s">
        <v>781</v>
      </c>
      <c r="AI110" s="479"/>
      <c r="AJ110" s="479"/>
      <c r="AK110" s="479"/>
      <c r="AL110" s="479"/>
      <c r="AM110" s="480"/>
      <c r="AO110" s="469" t="s">
        <v>782</v>
      </c>
      <c r="AP110" s="425"/>
      <c r="AQ110" s="425"/>
      <c r="AR110" s="425"/>
      <c r="AS110" s="425"/>
      <c r="AT110" s="425"/>
      <c r="AU110" s="425"/>
      <c r="AV110" s="425"/>
      <c r="AW110" s="425"/>
      <c r="AX110" s="425"/>
      <c r="AY110" s="425"/>
      <c r="AZ110" s="425"/>
      <c r="BA110" s="425"/>
      <c r="BB110" s="425"/>
      <c r="BC110" s="425"/>
      <c r="BD110" s="425"/>
      <c r="BE110" s="425"/>
      <c r="BF110" s="425"/>
      <c r="BG110" s="468"/>
    </row>
    <row r="111" spans="1:60" x14ac:dyDescent="0.25">
      <c r="A111"/>
      <c r="B111" s="455"/>
      <c r="C111" s="456" t="s">
        <v>715</v>
      </c>
      <c r="E111" s="424"/>
      <c r="F111" s="443"/>
      <c r="G111" s="462"/>
      <c r="H111" s="443"/>
      <c r="I111" s="443"/>
      <c r="J111" s="443"/>
      <c r="K111" s="443"/>
      <c r="L111" s="463"/>
      <c r="M111" s="443"/>
      <c r="N111" s="462"/>
      <c r="O111" s="443"/>
      <c r="P111" s="443"/>
      <c r="Q111" s="443"/>
      <c r="R111" s="443"/>
      <c r="S111" s="443"/>
      <c r="T111" s="463"/>
      <c r="U111" s="443"/>
      <c r="V111" s="462"/>
      <c r="W111" s="443"/>
      <c r="X111" s="443"/>
      <c r="Y111" s="443"/>
      <c r="Z111" s="443"/>
      <c r="AA111" s="443"/>
      <c r="AB111" s="443"/>
      <c r="AC111" s="443"/>
      <c r="AD111" s="443"/>
      <c r="AE111" s="443"/>
      <c r="AF111" s="434"/>
      <c r="AG111" s="134"/>
      <c r="AH111" s="481"/>
      <c r="AI111" s="482"/>
      <c r="AJ111" s="482"/>
      <c r="AK111" s="482"/>
      <c r="AL111" s="482"/>
      <c r="AM111" s="483"/>
      <c r="AN111" s="443"/>
      <c r="AO111" s="462"/>
      <c r="AP111" s="443"/>
      <c r="AQ111" s="443"/>
      <c r="AR111" s="443"/>
      <c r="AS111" s="443"/>
      <c r="AT111" s="443"/>
      <c r="AU111" s="443"/>
      <c r="AV111" s="443"/>
      <c r="AW111" s="443"/>
      <c r="AX111" s="443"/>
      <c r="AY111" s="443"/>
      <c r="AZ111" s="443"/>
      <c r="BA111" s="443"/>
      <c r="BB111" s="443"/>
      <c r="BC111" s="443"/>
      <c r="BD111" s="443"/>
      <c r="BE111" s="443"/>
      <c r="BF111" s="443"/>
      <c r="BG111" s="463"/>
      <c r="BH111" s="443"/>
    </row>
    <row r="112" spans="1:60" x14ac:dyDescent="0.25">
      <c r="A112"/>
      <c r="B112" s="455"/>
      <c r="C112" s="456" t="s">
        <v>716</v>
      </c>
      <c r="E112" s="424"/>
      <c r="F112" s="443"/>
      <c r="G112" s="462"/>
      <c r="H112" s="443"/>
      <c r="I112" s="443"/>
      <c r="J112" s="443"/>
      <c r="K112" s="443"/>
      <c r="L112" s="463"/>
      <c r="M112" s="443"/>
      <c r="N112" s="462"/>
      <c r="O112" s="443"/>
      <c r="P112" s="443"/>
      <c r="Q112" s="443"/>
      <c r="R112" s="443"/>
      <c r="S112" s="443"/>
      <c r="T112" s="463"/>
      <c r="U112" s="443"/>
      <c r="V112" s="462"/>
      <c r="W112" s="443"/>
      <c r="X112" s="443"/>
      <c r="Y112" s="443"/>
      <c r="Z112" s="443"/>
      <c r="AA112" s="443"/>
      <c r="AB112" s="443"/>
      <c r="AC112" s="443"/>
      <c r="AD112" s="443"/>
      <c r="AE112" s="443"/>
      <c r="AF112" s="434"/>
      <c r="AG112" s="134"/>
      <c r="AH112" s="481"/>
      <c r="AI112" s="482"/>
      <c r="AJ112" s="482"/>
      <c r="AK112" s="482"/>
      <c r="AL112" s="482"/>
      <c r="AM112" s="483"/>
      <c r="AN112" s="443"/>
      <c r="AO112" s="462"/>
      <c r="AP112" s="443"/>
      <c r="AQ112" s="443"/>
      <c r="AR112" s="443"/>
      <c r="AS112" s="443"/>
      <c r="AT112" s="443"/>
      <c r="AU112" s="443"/>
      <c r="AV112" s="443"/>
      <c r="AW112" s="443"/>
      <c r="AX112" s="443"/>
      <c r="AY112" s="443"/>
      <c r="AZ112" s="443"/>
      <c r="BA112" s="443"/>
      <c r="BB112" s="443"/>
      <c r="BC112" s="443"/>
      <c r="BD112" s="443"/>
      <c r="BE112" s="443"/>
      <c r="BF112" s="443"/>
      <c r="BG112" s="463"/>
      <c r="BH112" s="443"/>
    </row>
    <row r="113" spans="1:60" x14ac:dyDescent="0.25">
      <c r="A113"/>
      <c r="B113" s="455"/>
      <c r="C113" s="458" t="s">
        <v>717</v>
      </c>
      <c r="E113" s="424"/>
      <c r="F113" s="443"/>
      <c r="G113" s="462"/>
      <c r="H113" s="443"/>
      <c r="I113" s="443"/>
      <c r="J113" s="443"/>
      <c r="K113" s="443"/>
      <c r="L113" s="463"/>
      <c r="M113" s="443"/>
      <c r="N113" s="462"/>
      <c r="O113" s="443"/>
      <c r="P113" s="443"/>
      <c r="Q113" s="443"/>
      <c r="R113" s="443"/>
      <c r="S113" s="443"/>
      <c r="T113" s="463"/>
      <c r="U113" s="443"/>
      <c r="V113" s="462"/>
      <c r="W113" s="443"/>
      <c r="X113" s="443"/>
      <c r="Y113" s="443"/>
      <c r="Z113" s="443"/>
      <c r="AA113" s="443"/>
      <c r="AB113" s="443"/>
      <c r="AC113" s="443"/>
      <c r="AD113" s="443"/>
      <c r="AE113" s="443"/>
      <c r="AF113" s="434"/>
      <c r="AG113" s="134"/>
      <c r="AH113" s="481"/>
      <c r="AI113" s="482"/>
      <c r="AJ113" s="482"/>
      <c r="AK113" s="482"/>
      <c r="AL113" s="482"/>
      <c r="AM113" s="483"/>
      <c r="AN113" s="443"/>
      <c r="AO113" s="462"/>
      <c r="AP113" s="443"/>
      <c r="AQ113" s="443"/>
      <c r="AR113" s="443"/>
      <c r="AS113" s="443"/>
      <c r="AT113" s="443"/>
      <c r="AU113" s="443"/>
      <c r="AV113" s="443"/>
      <c r="AW113" s="443"/>
      <c r="AX113" s="443"/>
      <c r="AY113" s="443"/>
      <c r="AZ113" s="443"/>
      <c r="BA113" s="443"/>
      <c r="BB113" s="443"/>
      <c r="BC113" s="443"/>
      <c r="BD113" s="443"/>
      <c r="BE113" s="443"/>
      <c r="BF113" s="443"/>
      <c r="BG113" s="463"/>
      <c r="BH113" s="443"/>
    </row>
    <row r="114" spans="1:60" s="443" customFormat="1" x14ac:dyDescent="0.25">
      <c r="A114" s="134"/>
      <c r="B114" s="459" t="s">
        <v>741</v>
      </c>
      <c r="C114" s="454" t="s">
        <v>714</v>
      </c>
      <c r="E114" s="408"/>
      <c r="G114" s="469"/>
      <c r="H114" s="425"/>
      <c r="I114" s="425"/>
      <c r="J114" s="425"/>
      <c r="K114" s="425"/>
      <c r="L114" s="468"/>
      <c r="N114" s="469"/>
      <c r="O114" s="425"/>
      <c r="P114" s="425"/>
      <c r="Q114" s="425"/>
      <c r="R114" s="425"/>
      <c r="S114" s="425"/>
      <c r="T114" s="468"/>
      <c r="V114" s="469"/>
      <c r="W114" s="425"/>
      <c r="X114" s="425"/>
      <c r="Y114" s="425"/>
      <c r="Z114" s="425"/>
      <c r="AA114" s="425"/>
      <c r="AB114" s="425"/>
      <c r="AC114" s="425"/>
      <c r="AD114" s="425"/>
      <c r="AE114" s="425"/>
      <c r="AF114" s="407"/>
      <c r="AG114" s="134"/>
      <c r="AH114" s="478"/>
      <c r="AI114" s="479"/>
      <c r="AJ114" s="479"/>
      <c r="AK114" s="479"/>
      <c r="AL114" s="479"/>
      <c r="AM114" s="480"/>
      <c r="AO114" s="469"/>
      <c r="AP114" s="425"/>
      <c r="AQ114" s="425"/>
      <c r="AR114" s="425"/>
      <c r="AS114" s="425"/>
      <c r="AT114" s="425"/>
      <c r="AU114" s="425"/>
      <c r="AV114" s="425"/>
      <c r="AW114" s="425"/>
      <c r="AX114" s="425"/>
      <c r="AY114" s="425"/>
      <c r="AZ114" s="425"/>
      <c r="BA114" s="425"/>
      <c r="BB114" s="425"/>
      <c r="BC114" s="425"/>
      <c r="BD114" s="425"/>
      <c r="BE114" s="425"/>
      <c r="BF114" s="425"/>
      <c r="BG114" s="468"/>
    </row>
    <row r="115" spans="1:60" x14ac:dyDescent="0.25">
      <c r="A115"/>
      <c r="B115" s="455"/>
      <c r="C115" s="456" t="s">
        <v>715</v>
      </c>
      <c r="E115" s="424"/>
      <c r="F115" s="443"/>
      <c r="G115" s="462"/>
      <c r="H115" s="443"/>
      <c r="I115" s="443"/>
      <c r="J115" s="443"/>
      <c r="K115" s="443"/>
      <c r="L115" s="463"/>
      <c r="M115" s="443"/>
      <c r="N115" s="462"/>
      <c r="O115" s="443"/>
      <c r="P115" s="443"/>
      <c r="Q115" s="443"/>
      <c r="R115" s="443"/>
      <c r="S115" s="443"/>
      <c r="T115" s="463"/>
      <c r="U115" s="443"/>
      <c r="V115" s="462"/>
      <c r="W115" s="443"/>
      <c r="X115" s="443"/>
      <c r="Y115" s="443"/>
      <c r="Z115" s="443"/>
      <c r="AA115" s="443"/>
      <c r="AB115" s="443"/>
      <c r="AC115" s="443"/>
      <c r="AD115" s="443"/>
      <c r="AE115" s="443"/>
      <c r="AF115" s="434"/>
      <c r="AG115" s="134"/>
      <c r="AH115" s="481"/>
      <c r="AI115" s="482"/>
      <c r="AJ115" s="482"/>
      <c r="AK115" s="482"/>
      <c r="AL115" s="482"/>
      <c r="AM115" s="483"/>
      <c r="AN115" s="443"/>
      <c r="AO115" s="462"/>
      <c r="AP115" s="443"/>
      <c r="AQ115" s="443"/>
      <c r="AR115" s="443"/>
      <c r="AS115" s="443"/>
      <c r="AT115" s="443"/>
      <c r="AU115" s="443"/>
      <c r="AV115" s="443"/>
      <c r="AW115" s="443"/>
      <c r="AX115" s="443"/>
      <c r="AY115" s="443"/>
      <c r="AZ115" s="443"/>
      <c r="BA115" s="443"/>
      <c r="BB115" s="443"/>
      <c r="BC115" s="443"/>
      <c r="BD115" s="443"/>
      <c r="BE115" s="443"/>
      <c r="BF115" s="443"/>
      <c r="BG115" s="463"/>
      <c r="BH115" s="443"/>
    </row>
    <row r="116" spans="1:60" x14ac:dyDescent="0.25">
      <c r="A116"/>
      <c r="B116" s="455"/>
      <c r="C116" s="456" t="s">
        <v>716</v>
      </c>
      <c r="E116" s="424"/>
      <c r="F116" s="443"/>
      <c r="G116" s="462"/>
      <c r="H116" s="443"/>
      <c r="I116" s="443"/>
      <c r="J116" s="443"/>
      <c r="K116" s="443"/>
      <c r="L116" s="463"/>
      <c r="M116" s="443"/>
      <c r="N116" s="462"/>
      <c r="O116" s="443"/>
      <c r="P116" s="443"/>
      <c r="Q116" s="443"/>
      <c r="R116" s="443"/>
      <c r="S116" s="443"/>
      <c r="T116" s="463"/>
      <c r="U116" s="443"/>
      <c r="V116" s="462"/>
      <c r="W116" s="443"/>
      <c r="X116" s="443"/>
      <c r="Y116" s="443"/>
      <c r="Z116" s="443"/>
      <c r="AA116" s="443"/>
      <c r="AB116" s="443"/>
      <c r="AC116" s="443"/>
      <c r="AD116" s="443"/>
      <c r="AE116" s="443"/>
      <c r="AF116" s="434"/>
      <c r="AG116" s="134"/>
      <c r="AH116" s="481"/>
      <c r="AI116" s="482"/>
      <c r="AJ116" s="482"/>
      <c r="AK116" s="482"/>
      <c r="AL116" s="482"/>
      <c r="AM116" s="483"/>
      <c r="AN116" s="443"/>
      <c r="AO116" s="462"/>
      <c r="AP116" s="443"/>
      <c r="AQ116" s="443"/>
      <c r="AR116" s="443"/>
      <c r="AS116" s="443"/>
      <c r="AT116" s="443"/>
      <c r="AU116" s="443"/>
      <c r="AV116" s="443"/>
      <c r="AW116" s="443"/>
      <c r="AX116" s="443"/>
      <c r="AY116" s="443"/>
      <c r="AZ116" s="443"/>
      <c r="BA116" s="443"/>
      <c r="BB116" s="443"/>
      <c r="BC116" s="443"/>
      <c r="BD116" s="443"/>
      <c r="BE116" s="443"/>
      <c r="BF116" s="443"/>
      <c r="BG116" s="463"/>
      <c r="BH116" s="443"/>
    </row>
    <row r="117" spans="1:60" x14ac:dyDescent="0.25">
      <c r="A117"/>
      <c r="B117" s="457"/>
      <c r="C117" s="458" t="s">
        <v>717</v>
      </c>
      <c r="E117" s="410"/>
      <c r="F117" s="443"/>
      <c r="G117" s="464"/>
      <c r="H117" s="437"/>
      <c r="I117" s="437"/>
      <c r="J117" s="437"/>
      <c r="K117" s="437"/>
      <c r="L117" s="465"/>
      <c r="M117" s="443"/>
      <c r="N117" s="464"/>
      <c r="O117" s="437"/>
      <c r="P117" s="437"/>
      <c r="Q117" s="437"/>
      <c r="R117" s="437"/>
      <c r="S117" s="437"/>
      <c r="T117" s="465"/>
      <c r="U117" s="443"/>
      <c r="V117" s="464"/>
      <c r="W117" s="437"/>
      <c r="X117" s="437"/>
      <c r="Y117" s="437"/>
      <c r="Z117" s="437"/>
      <c r="AA117" s="437"/>
      <c r="AB117" s="437"/>
      <c r="AC117" s="437"/>
      <c r="AD117" s="437"/>
      <c r="AE117" s="437"/>
      <c r="AF117" s="440"/>
      <c r="AG117" s="134"/>
      <c r="AH117" s="484"/>
      <c r="AI117" s="485"/>
      <c r="AJ117" s="485"/>
      <c r="AK117" s="485"/>
      <c r="AL117" s="485"/>
      <c r="AM117" s="486"/>
      <c r="AN117" s="443"/>
      <c r="AO117" s="464"/>
      <c r="AP117" s="437"/>
      <c r="AQ117" s="437"/>
      <c r="AR117" s="437"/>
      <c r="AS117" s="437"/>
      <c r="AT117" s="437"/>
      <c r="AU117" s="437"/>
      <c r="AV117" s="437"/>
      <c r="AW117" s="437"/>
      <c r="AX117" s="437"/>
      <c r="AY117" s="437"/>
      <c r="AZ117" s="437"/>
      <c r="BA117" s="437"/>
      <c r="BB117" s="437"/>
      <c r="BC117" s="437"/>
      <c r="BD117" s="437"/>
      <c r="BE117" s="437"/>
      <c r="BF117" s="437"/>
      <c r="BG117" s="465"/>
      <c r="BH117" s="443"/>
    </row>
    <row r="118" spans="1:60" s="443" customFormat="1" x14ac:dyDescent="0.25">
      <c r="A118" s="134"/>
      <c r="B118" s="455" t="s">
        <v>742</v>
      </c>
      <c r="C118" s="454" t="s">
        <v>714</v>
      </c>
      <c r="E118" s="408"/>
      <c r="G118" s="469"/>
      <c r="H118" s="425"/>
      <c r="I118" s="425"/>
      <c r="J118" s="425"/>
      <c r="K118" s="425"/>
      <c r="L118" s="468"/>
      <c r="N118" s="469"/>
      <c r="O118" s="425"/>
      <c r="P118" s="425"/>
      <c r="Q118" s="425"/>
      <c r="R118" s="425"/>
      <c r="S118" s="425"/>
      <c r="T118" s="468"/>
      <c r="V118" s="469"/>
      <c r="W118" s="425"/>
      <c r="X118" s="425"/>
      <c r="Y118" s="425"/>
      <c r="Z118" s="425"/>
      <c r="AA118" s="425"/>
      <c r="AB118" s="425"/>
      <c r="AC118" s="425"/>
      <c r="AD118" s="425"/>
      <c r="AE118" s="425"/>
      <c r="AF118" s="407"/>
      <c r="AG118" s="134"/>
      <c r="AH118" s="478"/>
      <c r="AI118" s="479"/>
      <c r="AJ118" s="479"/>
      <c r="AK118" s="479"/>
      <c r="AL118" s="479"/>
      <c r="AM118" s="480"/>
      <c r="AO118" s="469"/>
      <c r="AP118" s="425"/>
      <c r="AQ118" s="425"/>
      <c r="AR118" s="425"/>
      <c r="AS118" s="425"/>
      <c r="AT118" s="425"/>
      <c r="AU118" s="425"/>
      <c r="AV118" s="425"/>
      <c r="AW118" s="425"/>
      <c r="AX118" s="425"/>
      <c r="AY118" s="425"/>
      <c r="AZ118" s="425"/>
      <c r="BA118" s="425"/>
      <c r="BB118" s="425"/>
      <c r="BC118" s="425"/>
      <c r="BD118" s="425"/>
      <c r="BE118" s="425"/>
      <c r="BF118" s="425"/>
      <c r="BG118" s="468"/>
    </row>
    <row r="119" spans="1:60" x14ac:dyDescent="0.25">
      <c r="A119"/>
      <c r="B119" s="455"/>
      <c r="C119" s="456" t="s">
        <v>715</v>
      </c>
      <c r="E119" s="424"/>
      <c r="F119" s="443"/>
      <c r="G119" s="462"/>
      <c r="H119" s="443"/>
      <c r="I119" s="443"/>
      <c r="J119" s="443"/>
      <c r="K119" s="443"/>
      <c r="L119" s="463"/>
      <c r="M119" s="443"/>
      <c r="N119" s="462"/>
      <c r="O119" s="443"/>
      <c r="P119" s="443"/>
      <c r="Q119" s="443"/>
      <c r="R119" s="443"/>
      <c r="S119" s="443"/>
      <c r="T119" s="463"/>
      <c r="U119" s="443"/>
      <c r="V119" s="462"/>
      <c r="W119" s="443"/>
      <c r="X119" s="443"/>
      <c r="Y119" s="443"/>
      <c r="Z119" s="443"/>
      <c r="AA119" s="443"/>
      <c r="AB119" s="443"/>
      <c r="AC119" s="443"/>
      <c r="AD119" s="443"/>
      <c r="AE119" s="443"/>
      <c r="AF119" s="434"/>
      <c r="AG119" s="134"/>
      <c r="AH119" s="481"/>
      <c r="AI119" s="482"/>
      <c r="AJ119" s="482"/>
      <c r="AK119" s="482"/>
      <c r="AL119" s="482"/>
      <c r="AM119" s="483"/>
      <c r="AN119" s="443"/>
      <c r="AO119" s="462"/>
      <c r="AP119" s="443"/>
      <c r="AQ119" s="443"/>
      <c r="AR119" s="443"/>
      <c r="AS119" s="443"/>
      <c r="AT119" s="443"/>
      <c r="AU119" s="443"/>
      <c r="AV119" s="443"/>
      <c r="AW119" s="443"/>
      <c r="AX119" s="443"/>
      <c r="AY119" s="443"/>
      <c r="AZ119" s="443"/>
      <c r="BA119" s="443"/>
      <c r="BB119" s="443"/>
      <c r="BC119" s="443"/>
      <c r="BD119" s="443"/>
      <c r="BE119" s="443"/>
      <c r="BF119" s="443"/>
      <c r="BG119" s="463"/>
      <c r="BH119" s="443"/>
    </row>
    <row r="120" spans="1:60" x14ac:dyDescent="0.25">
      <c r="A120"/>
      <c r="B120" s="455"/>
      <c r="C120" s="456" t="s">
        <v>716</v>
      </c>
      <c r="E120" s="424"/>
      <c r="F120" s="443"/>
      <c r="G120" s="462"/>
      <c r="H120" s="443"/>
      <c r="I120" s="443"/>
      <c r="J120" s="443"/>
      <c r="K120" s="443"/>
      <c r="L120" s="463"/>
      <c r="M120" s="443"/>
      <c r="N120" s="462"/>
      <c r="O120" s="443"/>
      <c r="P120" s="443"/>
      <c r="Q120" s="443"/>
      <c r="R120" s="443"/>
      <c r="S120" s="443"/>
      <c r="T120" s="463"/>
      <c r="U120" s="443"/>
      <c r="V120" s="462"/>
      <c r="W120" s="443"/>
      <c r="X120" s="443"/>
      <c r="Y120" s="443"/>
      <c r="Z120" s="443"/>
      <c r="AA120" s="443"/>
      <c r="AB120" s="443"/>
      <c r="AC120" s="443"/>
      <c r="AD120" s="443"/>
      <c r="AE120" s="443"/>
      <c r="AF120" s="434"/>
      <c r="AG120" s="134"/>
      <c r="AH120" s="481"/>
      <c r="AI120" s="482"/>
      <c r="AJ120" s="482"/>
      <c r="AK120" s="482"/>
      <c r="AL120" s="482"/>
      <c r="AM120" s="483"/>
      <c r="AN120" s="443"/>
      <c r="AO120" s="462"/>
      <c r="AP120" s="443"/>
      <c r="AQ120" s="443"/>
      <c r="AR120" s="443"/>
      <c r="AS120" s="443"/>
      <c r="AT120" s="443"/>
      <c r="AU120" s="443"/>
      <c r="AV120" s="443"/>
      <c r="AW120" s="443"/>
      <c r="AX120" s="443"/>
      <c r="AY120" s="443"/>
      <c r="AZ120" s="443"/>
      <c r="BA120" s="443"/>
      <c r="BB120" s="443"/>
      <c r="BC120" s="443"/>
      <c r="BD120" s="443"/>
      <c r="BE120" s="443"/>
      <c r="BF120" s="443"/>
      <c r="BG120" s="463"/>
      <c r="BH120" s="443"/>
    </row>
    <row r="121" spans="1:60" x14ac:dyDescent="0.25">
      <c r="A121"/>
      <c r="B121" s="457"/>
      <c r="C121" s="458" t="s">
        <v>717</v>
      </c>
      <c r="E121" s="410"/>
      <c r="F121" s="443"/>
      <c r="G121" s="464"/>
      <c r="H121" s="437"/>
      <c r="I121" s="437"/>
      <c r="J121" s="437"/>
      <c r="K121" s="437"/>
      <c r="L121" s="465"/>
      <c r="M121" s="443"/>
      <c r="N121" s="464"/>
      <c r="O121" s="437"/>
      <c r="P121" s="437"/>
      <c r="Q121" s="437"/>
      <c r="R121" s="437"/>
      <c r="S121" s="437"/>
      <c r="T121" s="465"/>
      <c r="U121" s="443"/>
      <c r="V121" s="464"/>
      <c r="W121" s="437"/>
      <c r="X121" s="437"/>
      <c r="Y121" s="437"/>
      <c r="Z121" s="437"/>
      <c r="AA121" s="437"/>
      <c r="AB121" s="437"/>
      <c r="AC121" s="437"/>
      <c r="AD121" s="437"/>
      <c r="AE121" s="437"/>
      <c r="AF121" s="440"/>
      <c r="AG121" s="134"/>
      <c r="AH121" s="484"/>
      <c r="AI121" s="485"/>
      <c r="AJ121" s="485"/>
      <c r="AK121" s="485"/>
      <c r="AL121" s="485"/>
      <c r="AM121" s="486"/>
      <c r="AN121" s="443"/>
      <c r="AO121" s="464"/>
      <c r="AP121" s="437"/>
      <c r="AQ121" s="437"/>
      <c r="AR121" s="437"/>
      <c r="AS121" s="437"/>
      <c r="AT121" s="437"/>
      <c r="AU121" s="437"/>
      <c r="AV121" s="437"/>
      <c r="AW121" s="437"/>
      <c r="AX121" s="437"/>
      <c r="AY121" s="437"/>
      <c r="AZ121" s="437"/>
      <c r="BA121" s="437"/>
      <c r="BB121" s="437"/>
      <c r="BC121" s="437"/>
      <c r="BD121" s="437"/>
      <c r="BE121" s="437"/>
      <c r="BF121" s="437"/>
      <c r="BG121" s="465"/>
      <c r="BH121" s="443"/>
    </row>
    <row r="122" spans="1:60" x14ac:dyDescent="0.25">
      <c r="A122"/>
      <c r="E122" s="443"/>
      <c r="F122" s="443"/>
      <c r="G122" s="443"/>
      <c r="H122" s="443"/>
      <c r="I122" s="443"/>
      <c r="J122" s="443"/>
      <c r="K122" s="443"/>
      <c r="L122" s="443"/>
      <c r="M122" s="443"/>
      <c r="N122" s="443"/>
      <c r="O122" s="443"/>
      <c r="P122" s="443"/>
      <c r="Q122" s="443"/>
      <c r="R122" s="443"/>
      <c r="S122" s="443"/>
      <c r="T122" s="443"/>
      <c r="U122" s="443"/>
      <c r="V122" s="443"/>
      <c r="W122" s="443"/>
      <c r="X122" s="443"/>
      <c r="Y122" s="443"/>
      <c r="Z122" s="443"/>
      <c r="AA122" s="443"/>
      <c r="AB122" s="443"/>
      <c r="AC122" s="443"/>
      <c r="AD122" s="443"/>
      <c r="AE122" s="443"/>
      <c r="AF122" s="134"/>
      <c r="AG122" s="134"/>
      <c r="AH122" s="482"/>
      <c r="AI122" s="482"/>
      <c r="AJ122" s="482"/>
      <c r="AK122" s="482"/>
      <c r="AL122" s="482"/>
      <c r="AM122" s="403"/>
      <c r="AN122" s="443"/>
      <c r="AO122" s="443"/>
      <c r="AP122" s="443"/>
      <c r="AQ122" s="443"/>
      <c r="AR122" s="443"/>
      <c r="AS122" s="443"/>
      <c r="AT122" s="443"/>
      <c r="AU122" s="443"/>
      <c r="AV122" s="443"/>
      <c r="AW122" s="443"/>
      <c r="AX122" s="443"/>
      <c r="AY122" s="443"/>
      <c r="AZ122" s="443"/>
      <c r="BA122" s="443"/>
      <c r="BB122" s="443"/>
      <c r="BC122" s="443"/>
      <c r="BD122" s="443"/>
      <c r="BE122" s="443"/>
      <c r="BF122" s="443"/>
      <c r="BG122" s="443"/>
      <c r="BH122" s="443"/>
    </row>
    <row r="123" spans="1:60" s="443" customFormat="1" x14ac:dyDescent="0.25">
      <c r="A123" s="134"/>
      <c r="B123" s="453" t="s">
        <v>744</v>
      </c>
      <c r="C123" s="454" t="s">
        <v>714</v>
      </c>
      <c r="E123" s="408" t="s">
        <v>769</v>
      </c>
      <c r="G123" s="469" t="s">
        <v>774</v>
      </c>
      <c r="H123" s="425"/>
      <c r="I123" s="425"/>
      <c r="J123" s="425"/>
      <c r="K123" s="425"/>
      <c r="L123" s="468"/>
      <c r="N123" s="469" t="s">
        <v>775</v>
      </c>
      <c r="O123" s="425"/>
      <c r="P123" s="425"/>
      <c r="Q123" s="425"/>
      <c r="R123" s="425"/>
      <c r="S123" s="425"/>
      <c r="T123" s="468"/>
      <c r="V123" s="469" t="s">
        <v>776</v>
      </c>
      <c r="W123" s="425"/>
      <c r="X123" s="425"/>
      <c r="Y123" s="425"/>
      <c r="Z123" s="425"/>
      <c r="AA123" s="425"/>
      <c r="AB123" s="425"/>
      <c r="AC123" s="425"/>
      <c r="AD123" s="425"/>
      <c r="AE123" s="425"/>
      <c r="AF123" s="407"/>
      <c r="AG123" s="134"/>
      <c r="AH123" s="478" t="s">
        <v>777</v>
      </c>
      <c r="AI123" s="479"/>
      <c r="AJ123" s="479"/>
      <c r="AK123" s="479"/>
      <c r="AL123" s="479"/>
      <c r="AM123" s="480"/>
      <c r="AO123" s="469" t="s">
        <v>778</v>
      </c>
      <c r="AP123" s="425"/>
      <c r="AQ123" s="425"/>
      <c r="AR123" s="425"/>
      <c r="AS123" s="425"/>
      <c r="AT123" s="425"/>
      <c r="AU123" s="425"/>
      <c r="AV123" s="425"/>
      <c r="AW123" s="425"/>
      <c r="AX123" s="425"/>
      <c r="AY123" s="425"/>
      <c r="AZ123" s="425"/>
      <c r="BA123" s="425"/>
      <c r="BB123" s="425"/>
      <c r="BC123" s="425"/>
      <c r="BD123" s="425"/>
      <c r="BE123" s="425"/>
      <c r="BF123" s="425"/>
      <c r="BG123" s="468"/>
    </row>
    <row r="124" spans="1:60" x14ac:dyDescent="0.25">
      <c r="A124"/>
      <c r="B124" s="455"/>
      <c r="C124" s="456" t="s">
        <v>715</v>
      </c>
      <c r="E124" s="424"/>
      <c r="F124" s="443"/>
      <c r="G124" s="462"/>
      <c r="H124" s="443"/>
      <c r="I124" s="443"/>
      <c r="J124" s="443"/>
      <c r="K124" s="443"/>
      <c r="L124" s="463"/>
      <c r="M124" s="443"/>
      <c r="N124" s="462"/>
      <c r="O124" s="443"/>
      <c r="P124" s="443"/>
      <c r="Q124" s="443"/>
      <c r="R124" s="443"/>
      <c r="S124" s="443"/>
      <c r="T124" s="463"/>
      <c r="U124" s="443"/>
      <c r="V124" s="462"/>
      <c r="W124" s="443"/>
      <c r="X124" s="443"/>
      <c r="Y124" s="443"/>
      <c r="Z124" s="443"/>
      <c r="AA124" s="443"/>
      <c r="AB124" s="443"/>
      <c r="AC124" s="443"/>
      <c r="AD124" s="443"/>
      <c r="AE124" s="443"/>
      <c r="AF124" s="434"/>
      <c r="AG124" s="134"/>
      <c r="AH124" s="481"/>
      <c r="AI124" s="482"/>
      <c r="AJ124" s="482"/>
      <c r="AK124" s="482"/>
      <c r="AL124" s="482"/>
      <c r="AM124" s="483"/>
      <c r="AN124" s="443"/>
      <c r="AO124" s="462"/>
      <c r="AP124" s="443"/>
      <c r="AQ124" s="443"/>
      <c r="AR124" s="443"/>
      <c r="AS124" s="443"/>
      <c r="AT124" s="443"/>
      <c r="AU124" s="443"/>
      <c r="AV124" s="443"/>
      <c r="AW124" s="443"/>
      <c r="AX124" s="443"/>
      <c r="AY124" s="443"/>
      <c r="AZ124" s="443"/>
      <c r="BA124" s="443"/>
      <c r="BB124" s="443"/>
      <c r="BC124" s="443"/>
      <c r="BD124" s="443"/>
      <c r="BE124" s="443"/>
      <c r="BF124" s="443"/>
      <c r="BG124" s="463"/>
      <c r="BH124" s="443"/>
    </row>
    <row r="125" spans="1:60" x14ac:dyDescent="0.25">
      <c r="A125"/>
      <c r="B125" s="455"/>
      <c r="C125" s="456" t="s">
        <v>716</v>
      </c>
      <c r="E125" s="424"/>
      <c r="F125" s="443"/>
      <c r="G125" s="462"/>
      <c r="H125" s="443"/>
      <c r="I125" s="443"/>
      <c r="J125" s="443"/>
      <c r="K125" s="443"/>
      <c r="L125" s="463"/>
      <c r="M125" s="443"/>
      <c r="N125" s="462"/>
      <c r="O125" s="443"/>
      <c r="P125" s="443"/>
      <c r="Q125" s="443"/>
      <c r="R125" s="443"/>
      <c r="S125" s="443"/>
      <c r="T125" s="463"/>
      <c r="U125" s="443"/>
      <c r="V125" s="462"/>
      <c r="W125" s="443"/>
      <c r="X125" s="443"/>
      <c r="Y125" s="443"/>
      <c r="Z125" s="443"/>
      <c r="AA125" s="443"/>
      <c r="AB125" s="443"/>
      <c r="AC125" s="443"/>
      <c r="AD125" s="443"/>
      <c r="AE125" s="443"/>
      <c r="AF125" s="434"/>
      <c r="AG125" s="134"/>
      <c r="AH125" s="481"/>
      <c r="AI125" s="482"/>
      <c r="AJ125" s="482"/>
      <c r="AK125" s="482"/>
      <c r="AL125" s="482"/>
      <c r="AM125" s="483"/>
      <c r="AN125" s="443"/>
      <c r="AO125" s="462"/>
      <c r="AP125" s="443"/>
      <c r="AQ125" s="443"/>
      <c r="AR125" s="443"/>
      <c r="AS125" s="443"/>
      <c r="AT125" s="443"/>
      <c r="AU125" s="443"/>
      <c r="AV125" s="443"/>
      <c r="AW125" s="443"/>
      <c r="AX125" s="443"/>
      <c r="AY125" s="443"/>
      <c r="AZ125" s="443"/>
      <c r="BA125" s="443"/>
      <c r="BB125" s="443"/>
      <c r="BC125" s="443"/>
      <c r="BD125" s="443"/>
      <c r="BE125" s="443"/>
      <c r="BF125" s="443"/>
      <c r="BG125" s="463"/>
      <c r="BH125" s="443"/>
    </row>
    <row r="126" spans="1:60" x14ac:dyDescent="0.25">
      <c r="A126"/>
      <c r="B126" s="457"/>
      <c r="C126" s="458" t="s">
        <v>717</v>
      </c>
      <c r="E126" s="410"/>
      <c r="F126" s="443"/>
      <c r="G126" s="464"/>
      <c r="H126" s="437"/>
      <c r="I126" s="437"/>
      <c r="J126" s="437"/>
      <c r="K126" s="437"/>
      <c r="L126" s="465"/>
      <c r="M126" s="443"/>
      <c r="N126" s="464"/>
      <c r="O126" s="437"/>
      <c r="P126" s="437"/>
      <c r="Q126" s="437"/>
      <c r="R126" s="437"/>
      <c r="S126" s="437"/>
      <c r="T126" s="465"/>
      <c r="U126" s="443"/>
      <c r="V126" s="464"/>
      <c r="W126" s="437"/>
      <c r="X126" s="437"/>
      <c r="Y126" s="437"/>
      <c r="Z126" s="437"/>
      <c r="AA126" s="437"/>
      <c r="AB126" s="437"/>
      <c r="AC126" s="437"/>
      <c r="AD126" s="437"/>
      <c r="AE126" s="437"/>
      <c r="AF126" s="440"/>
      <c r="AG126" s="134"/>
      <c r="AH126" s="484"/>
      <c r="AI126" s="485"/>
      <c r="AJ126" s="485"/>
      <c r="AK126" s="485"/>
      <c r="AL126" s="485"/>
      <c r="AM126" s="486"/>
      <c r="AN126" s="443"/>
      <c r="AO126" s="464"/>
      <c r="AP126" s="437"/>
      <c r="AQ126" s="437"/>
      <c r="AR126" s="437"/>
      <c r="AS126" s="437"/>
      <c r="AT126" s="437"/>
      <c r="AU126" s="437"/>
      <c r="AV126" s="437"/>
      <c r="AW126" s="437"/>
      <c r="AX126" s="437"/>
      <c r="AY126" s="437"/>
      <c r="AZ126" s="437"/>
      <c r="BA126" s="437"/>
      <c r="BB126" s="437"/>
      <c r="BC126" s="437"/>
      <c r="BD126" s="437"/>
      <c r="BE126" s="437"/>
      <c r="BF126" s="437"/>
      <c r="BG126" s="465"/>
      <c r="BH126" s="443"/>
    </row>
    <row r="127" spans="1:60" ht="14.4" thickBot="1" x14ac:dyDescent="0.3">
      <c r="B127" s="487"/>
      <c r="C127" s="487"/>
      <c r="D127" s="427"/>
      <c r="E127" s="488"/>
      <c r="F127" s="488"/>
      <c r="G127" s="488"/>
      <c r="H127" s="488"/>
      <c r="I127" s="488"/>
      <c r="J127" s="488"/>
      <c r="K127" s="488"/>
      <c r="L127" s="488"/>
      <c r="M127" s="461"/>
      <c r="N127" s="461"/>
      <c r="O127" s="461"/>
      <c r="P127" s="461"/>
      <c r="Q127" s="461"/>
      <c r="R127" s="461"/>
      <c r="S127" s="461"/>
      <c r="T127" s="461"/>
      <c r="U127" s="461"/>
      <c r="V127" s="461"/>
      <c r="W127" s="461"/>
      <c r="X127" s="461"/>
      <c r="Y127" s="461"/>
      <c r="Z127" s="461"/>
      <c r="AA127" s="461"/>
      <c r="AB127" s="461"/>
      <c r="AC127" s="461"/>
      <c r="AD127" s="461"/>
      <c r="AE127" s="461"/>
      <c r="AF127" s="461"/>
      <c r="AG127" s="461"/>
      <c r="AH127" s="413"/>
      <c r="AI127" s="413"/>
      <c r="AJ127" s="413"/>
      <c r="AK127" s="413"/>
      <c r="AL127" s="413"/>
      <c r="AM127" s="413"/>
      <c r="AN127" s="461"/>
      <c r="AO127" s="461"/>
      <c r="AP127" s="461"/>
      <c r="AQ127" s="461"/>
      <c r="AR127" s="461"/>
      <c r="AS127" s="461"/>
      <c r="AT127" s="461"/>
      <c r="AU127" s="461"/>
      <c r="AV127" s="461"/>
      <c r="AW127" s="461"/>
      <c r="AX127" s="461"/>
      <c r="AY127" s="461"/>
      <c r="AZ127" s="461"/>
      <c r="BA127" s="461"/>
      <c r="BB127" s="461"/>
      <c r="BC127" s="461"/>
      <c r="BD127" s="461"/>
      <c r="BE127" s="461"/>
      <c r="BF127" s="461"/>
      <c r="BG127" s="461"/>
      <c r="BH127" s="443"/>
    </row>
    <row r="128" spans="1:60" x14ac:dyDescent="0.25">
      <c r="B128" s="489"/>
      <c r="C128" s="489"/>
      <c r="D128" s="491"/>
      <c r="E128" s="495"/>
      <c r="F128" s="495"/>
      <c r="G128" s="495"/>
      <c r="H128" s="495"/>
      <c r="I128" s="495"/>
      <c r="J128" s="495"/>
      <c r="K128" s="495"/>
      <c r="L128" s="495"/>
      <c r="M128" s="443"/>
      <c r="N128" s="443"/>
      <c r="O128" s="443"/>
      <c r="P128" s="443"/>
      <c r="Q128" s="443"/>
      <c r="R128" s="443"/>
      <c r="S128" s="443"/>
      <c r="T128" s="443"/>
      <c r="U128" s="443"/>
      <c r="V128" s="443"/>
      <c r="W128" s="443"/>
      <c r="X128" s="443"/>
      <c r="Y128" s="443"/>
      <c r="Z128" s="443"/>
      <c r="AA128" s="443"/>
      <c r="AB128" s="443"/>
      <c r="AC128" s="443"/>
      <c r="AD128" s="443"/>
      <c r="AE128" s="443"/>
      <c r="AF128" s="443"/>
      <c r="AG128" s="443"/>
      <c r="AH128" s="443"/>
      <c r="AI128" s="443"/>
      <c r="AJ128" s="443"/>
      <c r="AK128" s="443"/>
      <c r="AL128" s="443"/>
      <c r="AM128" s="443"/>
      <c r="AN128" s="443"/>
      <c r="AO128" s="443"/>
      <c r="AP128" s="443"/>
      <c r="AQ128" s="443"/>
      <c r="AR128" s="443"/>
      <c r="AS128" s="443"/>
      <c r="AT128" s="443"/>
      <c r="AU128" s="443"/>
      <c r="AV128" s="443"/>
      <c r="AW128" s="443"/>
      <c r="AX128" s="443"/>
      <c r="AY128" s="443"/>
      <c r="AZ128" s="443"/>
      <c r="BA128" s="443"/>
      <c r="BB128" s="443"/>
      <c r="BC128" s="443"/>
      <c r="BD128" s="443"/>
      <c r="BE128" s="443"/>
      <c r="BF128" s="443"/>
      <c r="BG128" s="443"/>
      <c r="BH128" s="443"/>
    </row>
    <row r="129" spans="2:22" x14ac:dyDescent="0.25">
      <c r="B129" s="673" t="s">
        <v>152</v>
      </c>
      <c r="C129" s="715"/>
      <c r="D129" s="715"/>
      <c r="E129" s="715"/>
      <c r="F129" s="715"/>
      <c r="G129" s="491"/>
      <c r="H129" s="491"/>
      <c r="I129" s="491"/>
      <c r="J129" s="491"/>
      <c r="K129" s="491"/>
      <c r="L129" s="491"/>
    </row>
    <row r="130" spans="2:22" x14ac:dyDescent="0.25">
      <c r="B130" s="489"/>
      <c r="C130" s="490"/>
      <c r="D130" s="491"/>
      <c r="E130" s="491"/>
      <c r="F130" s="491"/>
      <c r="G130" s="491"/>
      <c r="H130" s="491"/>
      <c r="I130" s="491"/>
      <c r="J130" s="491"/>
      <c r="K130" s="491"/>
      <c r="L130" s="491"/>
    </row>
    <row r="131" spans="2:22" x14ac:dyDescent="0.25">
      <c r="B131" s="673" t="s">
        <v>743</v>
      </c>
      <c r="C131" s="673"/>
      <c r="D131" s="673"/>
      <c r="E131" s="673"/>
      <c r="F131" s="673"/>
      <c r="G131" s="673"/>
      <c r="H131" s="673"/>
      <c r="I131" s="673"/>
      <c r="J131" s="673"/>
      <c r="K131" s="673"/>
      <c r="L131" s="673"/>
      <c r="M131" s="673"/>
      <c r="N131" s="673"/>
      <c r="O131" s="673"/>
      <c r="P131" s="673"/>
      <c r="Q131" s="673"/>
      <c r="R131" s="673"/>
      <c r="S131" s="673"/>
      <c r="T131" s="673"/>
      <c r="U131" s="673"/>
      <c r="V131" s="673"/>
    </row>
    <row r="132" spans="2:22" x14ac:dyDescent="0.25">
      <c r="B132" s="492"/>
      <c r="C132" s="492"/>
      <c r="D132" s="491"/>
      <c r="E132" s="491"/>
      <c r="F132" s="491"/>
      <c r="G132" s="491"/>
      <c r="H132" s="491"/>
      <c r="I132" s="491"/>
      <c r="J132" s="491"/>
      <c r="K132" s="491"/>
      <c r="L132" s="491"/>
    </row>
    <row r="133" spans="2:22" ht="26.55" customHeight="1" x14ac:dyDescent="0.25">
      <c r="B133" s="674" t="s">
        <v>93</v>
      </c>
      <c r="C133" s="674"/>
      <c r="D133" s="674"/>
      <c r="E133" s="674"/>
      <c r="F133" s="674"/>
      <c r="G133" s="674"/>
      <c r="H133" s="674"/>
      <c r="I133" s="674"/>
      <c r="J133" s="674"/>
      <c r="K133" s="674"/>
      <c r="L133" s="674"/>
      <c r="M133" s="674"/>
      <c r="N133" s="674"/>
      <c r="O133" s="674"/>
    </row>
    <row r="134" spans="2:22" ht="25.5" customHeight="1" x14ac:dyDescent="0.25">
      <c r="B134" s="715" t="s">
        <v>94</v>
      </c>
      <c r="C134" s="715"/>
      <c r="D134" s="715"/>
      <c r="E134" s="715"/>
      <c r="F134" s="715"/>
      <c r="G134" s="715"/>
      <c r="H134" s="715"/>
      <c r="I134" s="715"/>
      <c r="J134" s="715"/>
      <c r="K134" s="715"/>
      <c r="L134" s="715"/>
      <c r="M134" s="715"/>
      <c r="N134" s="715"/>
    </row>
  </sheetData>
  <mergeCells count="7">
    <mergeCell ref="B134:N134"/>
    <mergeCell ref="B5:Q5"/>
    <mergeCell ref="V10:AF10"/>
    <mergeCell ref="AH10:AM10"/>
    <mergeCell ref="B129:F129"/>
    <mergeCell ref="B131:V131"/>
    <mergeCell ref="B133:O133"/>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5"/>
  <sheetViews>
    <sheetView showGridLines="0" zoomScaleNormal="100" workbookViewId="0"/>
  </sheetViews>
  <sheetFormatPr defaultColWidth="8.59765625" defaultRowHeight="13.8" x14ac:dyDescent="0.25"/>
  <cols>
    <col min="1" max="1" width="1.59765625" customWidth="1"/>
    <col min="2" max="2" width="30.59765625" customWidth="1"/>
    <col min="3" max="6" width="11.796875" customWidth="1"/>
  </cols>
  <sheetData>
    <row r="1" spans="2:6" x14ac:dyDescent="0.25">
      <c r="B1" s="11" t="s">
        <v>702</v>
      </c>
    </row>
    <row r="3" spans="2:6" x14ac:dyDescent="0.25">
      <c r="B3" s="471" t="s">
        <v>745</v>
      </c>
    </row>
    <row r="4" spans="2:6" ht="14.4" thickBot="1" x14ac:dyDescent="0.3">
      <c r="B4" s="472"/>
      <c r="C4" s="473"/>
      <c r="D4" s="473"/>
      <c r="E4" s="473"/>
      <c r="F4" s="473"/>
    </row>
    <row r="6" spans="2:6" ht="41.4" x14ac:dyDescent="0.25">
      <c r="B6" s="474" t="s">
        <v>746</v>
      </c>
      <c r="C6" s="412" t="s">
        <v>988</v>
      </c>
      <c r="D6" s="412" t="s">
        <v>747</v>
      </c>
      <c r="E6" s="412" t="s">
        <v>989</v>
      </c>
      <c r="F6" s="412" t="s">
        <v>987</v>
      </c>
    </row>
    <row r="7" spans="2:6" ht="14.4" thickBot="1" x14ac:dyDescent="0.3">
      <c r="B7" s="473"/>
      <c r="C7" s="473"/>
      <c r="D7" s="473"/>
      <c r="E7" s="473"/>
      <c r="F7" s="473"/>
    </row>
    <row r="9" spans="2:6" x14ac:dyDescent="0.25">
      <c r="B9" s="544" t="s">
        <v>748</v>
      </c>
      <c r="C9" s="134" t="s">
        <v>951</v>
      </c>
      <c r="D9" s="134"/>
      <c r="E9" s="546"/>
      <c r="F9" s="546"/>
    </row>
    <row r="10" spans="2:6" x14ac:dyDescent="0.25">
      <c r="B10" s="544">
        <v>1</v>
      </c>
      <c r="C10" s="134"/>
      <c r="D10" s="475"/>
      <c r="E10" s="547"/>
      <c r="F10" s="547"/>
    </row>
    <row r="11" spans="2:6" x14ac:dyDescent="0.25">
      <c r="B11" s="544">
        <v>2</v>
      </c>
      <c r="C11" s="134"/>
      <c r="D11" s="475"/>
      <c r="E11" s="547"/>
      <c r="F11" s="547"/>
    </row>
    <row r="12" spans="2:6" x14ac:dyDescent="0.25">
      <c r="B12" s="544">
        <v>3</v>
      </c>
      <c r="C12" s="134"/>
      <c r="D12" s="475"/>
      <c r="E12" s="547"/>
      <c r="F12" s="547"/>
    </row>
    <row r="13" spans="2:6" x14ac:dyDescent="0.25">
      <c r="B13" s="544">
        <v>4</v>
      </c>
      <c r="C13" s="134"/>
      <c r="D13" s="475"/>
      <c r="E13" s="547"/>
      <c r="F13" s="547"/>
    </row>
    <row r="14" spans="2:6" x14ac:dyDescent="0.25">
      <c r="B14" s="544">
        <v>5</v>
      </c>
      <c r="C14" s="134"/>
      <c r="D14" s="475"/>
      <c r="E14" s="547"/>
      <c r="F14" s="547"/>
    </row>
    <row r="15" spans="2:6" x14ac:dyDescent="0.25">
      <c r="B15" s="544">
        <v>6</v>
      </c>
      <c r="C15" s="134"/>
      <c r="D15" s="475"/>
      <c r="E15" s="547"/>
      <c r="F15" s="547"/>
    </row>
    <row r="16" spans="2:6" x14ac:dyDescent="0.25">
      <c r="B16" s="544">
        <v>7</v>
      </c>
      <c r="C16" s="134"/>
      <c r="D16" s="475"/>
      <c r="E16" s="547"/>
      <c r="F16" s="547"/>
    </row>
    <row r="17" spans="2:10" x14ac:dyDescent="0.25">
      <c r="B17" s="544">
        <v>8</v>
      </c>
      <c r="C17" s="134"/>
      <c r="D17" s="475"/>
      <c r="E17" s="547"/>
      <c r="F17" s="547"/>
    </row>
    <row r="18" spans="2:10" x14ac:dyDescent="0.25">
      <c r="B18" s="544">
        <v>9</v>
      </c>
      <c r="C18" s="134"/>
      <c r="D18" s="475"/>
      <c r="E18" s="547"/>
      <c r="F18" s="547"/>
    </row>
    <row r="19" spans="2:10" x14ac:dyDescent="0.25">
      <c r="B19" s="544" t="s">
        <v>749</v>
      </c>
      <c r="C19" s="134"/>
      <c r="D19" s="475"/>
      <c r="E19" s="547"/>
      <c r="F19" s="547"/>
    </row>
    <row r="20" spans="2:10" ht="14.4" thickBot="1" x14ac:dyDescent="0.3">
      <c r="B20" s="473"/>
      <c r="C20" s="473"/>
      <c r="D20" s="473"/>
      <c r="E20" s="473"/>
      <c r="F20" s="473"/>
    </row>
    <row r="22" spans="2:10" x14ac:dyDescent="0.25">
      <c r="B22" s="698" t="s">
        <v>152</v>
      </c>
      <c r="C22" s="698"/>
      <c r="D22" s="698"/>
    </row>
    <row r="23" spans="2:10" x14ac:dyDescent="0.25">
      <c r="B23" s="353"/>
      <c r="C23" s="353"/>
      <c r="D23" s="353"/>
    </row>
    <row r="24" spans="2:10" s="441" customFormat="1" ht="26.55" customHeight="1" x14ac:dyDescent="0.25">
      <c r="B24" s="477" t="s">
        <v>93</v>
      </c>
      <c r="C24" s="477"/>
      <c r="D24" s="477"/>
      <c r="E24" s="477"/>
      <c r="F24" s="477"/>
      <c r="G24" s="477"/>
      <c r="H24" s="477"/>
      <c r="I24" s="477"/>
      <c r="J24" s="477"/>
    </row>
    <row r="25" spans="2:10" s="441" customFormat="1" ht="25.5" customHeight="1" x14ac:dyDescent="0.25">
      <c r="B25" s="411" t="s">
        <v>94</v>
      </c>
      <c r="C25" s="411"/>
      <c r="D25" s="411"/>
      <c r="E25" s="411"/>
      <c r="F25" s="411"/>
      <c r="G25" s="411"/>
      <c r="H25" s="411"/>
      <c r="I25" s="411"/>
    </row>
  </sheetData>
  <mergeCells count="1">
    <mergeCell ref="B22:D22"/>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9"/>
  <sheetViews>
    <sheetView showGridLines="0" zoomScale="80" zoomScaleNormal="80" workbookViewId="0"/>
  </sheetViews>
  <sheetFormatPr defaultColWidth="8.59765625" defaultRowHeight="13.8" x14ac:dyDescent="0.25"/>
  <cols>
    <col min="1" max="1" width="1.59765625" customWidth="1"/>
    <col min="2" max="2" width="17.796875" customWidth="1"/>
    <col min="3" max="3" width="121.5" bestFit="1" customWidth="1"/>
    <col min="4" max="4" width="27.69921875" bestFit="1" customWidth="1"/>
  </cols>
  <sheetData>
    <row r="1" spans="2:4" x14ac:dyDescent="0.25">
      <c r="B1" s="471" t="s">
        <v>704</v>
      </c>
    </row>
    <row r="3" spans="2:4" x14ac:dyDescent="0.25">
      <c r="B3" s="471" t="s">
        <v>705</v>
      </c>
    </row>
    <row r="4" spans="2:4" x14ac:dyDescent="0.25">
      <c r="B4" s="471"/>
    </row>
    <row r="5" spans="2:4" ht="29.1" customHeight="1" x14ac:dyDescent="0.25">
      <c r="B5" s="721" t="s">
        <v>750</v>
      </c>
      <c r="C5" s="722"/>
      <c r="D5" s="722"/>
    </row>
    <row r="6" spans="2:4" ht="14.4" thickBot="1" x14ac:dyDescent="0.3">
      <c r="B6" s="472"/>
      <c r="C6" s="473"/>
      <c r="D6" s="473"/>
    </row>
    <row r="8" spans="2:4" x14ac:dyDescent="0.25">
      <c r="B8" t="s">
        <v>751</v>
      </c>
      <c r="C8" t="s">
        <v>752</v>
      </c>
      <c r="D8" t="s">
        <v>753</v>
      </c>
    </row>
    <row r="9" spans="2:4" ht="14.4" thickBot="1" x14ac:dyDescent="0.3">
      <c r="B9" s="473"/>
      <c r="C9" s="473"/>
      <c r="D9" s="473"/>
    </row>
    <row r="11" spans="2:4" x14ac:dyDescent="0.25">
      <c r="B11" s="476">
        <v>25</v>
      </c>
      <c r="C11" t="s">
        <v>730</v>
      </c>
      <c r="D11" t="s">
        <v>724</v>
      </c>
    </row>
    <row r="12" spans="2:4" x14ac:dyDescent="0.25">
      <c r="B12" s="476">
        <v>24</v>
      </c>
      <c r="C12" t="s">
        <v>732</v>
      </c>
      <c r="D12" t="s">
        <v>724</v>
      </c>
    </row>
    <row r="13" spans="2:4" x14ac:dyDescent="0.25">
      <c r="B13" s="476">
        <v>23</v>
      </c>
      <c r="C13" t="s">
        <v>734</v>
      </c>
      <c r="D13" t="s">
        <v>724</v>
      </c>
    </row>
    <row r="14" spans="2:4" x14ac:dyDescent="0.25">
      <c r="B14" s="476">
        <v>22</v>
      </c>
      <c r="C14" t="s">
        <v>727</v>
      </c>
      <c r="D14" t="s">
        <v>724</v>
      </c>
    </row>
    <row r="15" spans="2:4" x14ac:dyDescent="0.25">
      <c r="B15" s="476">
        <v>21</v>
      </c>
      <c r="C15" t="s">
        <v>731</v>
      </c>
      <c r="D15" t="s">
        <v>724</v>
      </c>
    </row>
    <row r="16" spans="2:4" x14ac:dyDescent="0.25">
      <c r="B16" s="476">
        <v>20</v>
      </c>
      <c r="C16" t="s">
        <v>754</v>
      </c>
      <c r="D16" t="s">
        <v>724</v>
      </c>
    </row>
    <row r="17" spans="2:4" x14ac:dyDescent="0.25">
      <c r="B17" s="476">
        <v>19</v>
      </c>
      <c r="C17" t="s">
        <v>733</v>
      </c>
      <c r="D17" t="s">
        <v>724</v>
      </c>
    </row>
    <row r="18" spans="2:4" x14ac:dyDescent="0.25">
      <c r="B18" s="476">
        <v>18</v>
      </c>
      <c r="C18" t="s">
        <v>735</v>
      </c>
      <c r="D18" t="s">
        <v>724</v>
      </c>
    </row>
    <row r="19" spans="2:4" x14ac:dyDescent="0.25">
      <c r="B19" s="476">
        <v>17</v>
      </c>
      <c r="C19" t="s">
        <v>739</v>
      </c>
      <c r="D19" t="s">
        <v>724</v>
      </c>
    </row>
    <row r="20" spans="2:4" x14ac:dyDescent="0.25">
      <c r="B20" s="476">
        <v>16</v>
      </c>
      <c r="C20" t="s">
        <v>728</v>
      </c>
      <c r="D20" t="s">
        <v>724</v>
      </c>
    </row>
    <row r="21" spans="2:4" x14ac:dyDescent="0.25">
      <c r="B21" s="476">
        <v>15</v>
      </c>
      <c r="C21" t="s">
        <v>729</v>
      </c>
      <c r="D21" t="s">
        <v>724</v>
      </c>
    </row>
    <row r="22" spans="2:4" x14ac:dyDescent="0.25">
      <c r="B22" s="476">
        <v>14</v>
      </c>
      <c r="C22" t="s">
        <v>737</v>
      </c>
      <c r="D22" t="s">
        <v>724</v>
      </c>
    </row>
    <row r="23" spans="2:4" x14ac:dyDescent="0.25">
      <c r="B23" s="476">
        <v>13</v>
      </c>
      <c r="C23" t="s">
        <v>726</v>
      </c>
      <c r="D23" t="s">
        <v>724</v>
      </c>
    </row>
    <row r="24" spans="2:4" x14ac:dyDescent="0.25">
      <c r="B24" s="476">
        <v>12</v>
      </c>
      <c r="C24" t="s">
        <v>725</v>
      </c>
      <c r="D24" t="s">
        <v>724</v>
      </c>
    </row>
    <row r="25" spans="2:4" x14ac:dyDescent="0.25">
      <c r="B25" s="476">
        <v>11</v>
      </c>
      <c r="C25" t="s">
        <v>738</v>
      </c>
      <c r="D25" t="s">
        <v>724</v>
      </c>
    </row>
    <row r="26" spans="2:4" x14ac:dyDescent="0.25">
      <c r="B26" s="476">
        <v>10</v>
      </c>
      <c r="C26" t="s">
        <v>720</v>
      </c>
      <c r="D26" t="s">
        <v>718</v>
      </c>
    </row>
    <row r="27" spans="2:4" x14ac:dyDescent="0.25">
      <c r="B27" s="476">
        <v>9</v>
      </c>
      <c r="C27" t="s">
        <v>744</v>
      </c>
      <c r="D27" t="s">
        <v>755</v>
      </c>
    </row>
    <row r="28" spans="2:4" x14ac:dyDescent="0.25">
      <c r="B28" s="476">
        <v>8</v>
      </c>
      <c r="C28" t="s">
        <v>756</v>
      </c>
      <c r="D28" t="s">
        <v>757</v>
      </c>
    </row>
    <row r="29" spans="2:4" x14ac:dyDescent="0.25">
      <c r="B29" s="476">
        <v>7</v>
      </c>
      <c r="C29" t="s">
        <v>736</v>
      </c>
      <c r="D29" t="s">
        <v>724</v>
      </c>
    </row>
    <row r="30" spans="2:4" x14ac:dyDescent="0.25">
      <c r="B30" s="476">
        <v>6</v>
      </c>
      <c r="C30" t="s">
        <v>719</v>
      </c>
      <c r="D30" t="s">
        <v>718</v>
      </c>
    </row>
    <row r="31" spans="2:4" x14ac:dyDescent="0.25">
      <c r="B31" s="476">
        <v>5</v>
      </c>
      <c r="C31" t="s">
        <v>721</v>
      </c>
      <c r="D31" t="s">
        <v>718</v>
      </c>
    </row>
    <row r="32" spans="2:4" x14ac:dyDescent="0.25">
      <c r="B32" s="476">
        <v>4</v>
      </c>
      <c r="C32" t="s">
        <v>742</v>
      </c>
      <c r="D32" t="s">
        <v>758</v>
      </c>
    </row>
    <row r="33" spans="2:12" x14ac:dyDescent="0.25">
      <c r="B33" s="476">
        <v>3</v>
      </c>
      <c r="C33" t="s">
        <v>741</v>
      </c>
      <c r="D33" t="s">
        <v>758</v>
      </c>
    </row>
    <row r="34" spans="2:12" x14ac:dyDescent="0.25">
      <c r="B34" s="476">
        <v>2</v>
      </c>
      <c r="C34" t="s">
        <v>722</v>
      </c>
      <c r="D34" t="s">
        <v>718</v>
      </c>
    </row>
    <row r="35" spans="2:12" x14ac:dyDescent="0.25">
      <c r="B35" s="476">
        <v>1</v>
      </c>
      <c r="C35" t="s">
        <v>723</v>
      </c>
      <c r="D35" t="s">
        <v>718</v>
      </c>
    </row>
    <row r="36" spans="2:12" ht="14.4" thickBot="1" x14ac:dyDescent="0.3">
      <c r="B36" s="473"/>
      <c r="C36" s="473"/>
      <c r="D36" s="473"/>
    </row>
    <row r="38" spans="2:12" s="441" customFormat="1" ht="26.55" customHeight="1" x14ac:dyDescent="0.25">
      <c r="B38" s="674" t="s">
        <v>93</v>
      </c>
      <c r="C38" s="674"/>
      <c r="D38" s="674"/>
      <c r="E38" s="674"/>
      <c r="F38" s="674"/>
      <c r="G38" s="674"/>
      <c r="H38" s="674"/>
      <c r="I38" s="674"/>
      <c r="J38" s="674"/>
      <c r="K38" s="674"/>
      <c r="L38" s="674"/>
    </row>
    <row r="39" spans="2:12" s="441" customFormat="1" ht="25.5" customHeight="1" x14ac:dyDescent="0.25">
      <c r="B39" s="715" t="s">
        <v>94</v>
      </c>
      <c r="C39" s="715"/>
      <c r="D39" s="715"/>
      <c r="E39" s="715"/>
      <c r="F39" s="715"/>
      <c r="G39" s="715"/>
      <c r="H39" s="715"/>
      <c r="I39" s="715"/>
      <c r="J39" s="715"/>
      <c r="K39" s="715"/>
    </row>
  </sheetData>
  <mergeCells count="3">
    <mergeCell ref="B5:D5"/>
    <mergeCell ref="B38:L38"/>
    <mergeCell ref="B39:K3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NHSD-2119-1028060683-176120</_dlc_DocId>
    <_dlc_DocIdUrl xmlns="2c0b3723-ae66-45ac-94fb-aaf049c45b50">
      <Url>https://hscic365.sharepoint.com/sites/Teams 2/CommunityAndMentalHealthTeam/_layouts/15/DocIdRedir.aspx?ID=NHSD-2119-1028060683-176120</Url>
      <Description>NHSD-2119-1028060683-176120</Description>
    </_dlc_DocIdUrl>
    <AuthoredDate xmlns="5668c8bc-6c30-45e9-80ca-5109d4270dfd">2018-10-04T11:06:01+00:00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2018-09-17T06:32:50+00:00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2026-10-04T11:06:01+00:00</_dlc_ExpireDat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F2B591289F36254DB94C702449E18399" ma:contentTypeVersion="1954" ma:contentTypeDescription="" ma:contentTypeScope="" ma:versionID="fc036367b9056dc32fedbcf71eeeb324">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a3d9df4005ac3ca3ce32aa7a1c7cc173"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14;#Document|6113f30c-7b54-4978-b917-a373efb61b62"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bb72b7f4-c981-47a4-a26e-043e4b78ebf3" ContentTypeId="0x010100CE61D9DC7AFC6844B595FD0A55B75DF702" PreviousValue="false"/>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6969E03C-ED95-4642-8875-9FE84C997EB4}">
  <ds:schemaRefs>
    <ds:schemaRef ds:uri="http://purl.org/dc/elements/1.1/"/>
    <ds:schemaRef ds:uri="http://www.w3.org/XML/1998/namespace"/>
    <ds:schemaRef ds:uri="http://schemas.microsoft.com/office/infopath/2007/PartnerControls"/>
    <ds:schemaRef ds:uri="5668c8bc-6c30-45e9-80ca-5109d4270dfd"/>
    <ds:schemaRef ds:uri="http://schemas.microsoft.com/office/2006/metadata/properties"/>
    <ds:schemaRef ds:uri="http://schemas.openxmlformats.org/package/2006/metadata/core-properties"/>
    <ds:schemaRef ds:uri="http://purl.org/dc/terms/"/>
    <ds:schemaRef ds:uri="http://schemas.microsoft.com/office/2006/documentManagement/types"/>
    <ds:schemaRef ds:uri="http://purl.org/dc/dcmitype/"/>
    <ds:schemaRef ds:uri="2c0b3723-ae66-45ac-94fb-aaf049c45b50"/>
    <ds:schemaRef ds:uri="http://schemas.microsoft.com/sharepoint/v3"/>
  </ds:schemaRefs>
</ds:datastoreItem>
</file>

<file path=customXml/itemProps2.xml><?xml version="1.0" encoding="utf-8"?>
<ds:datastoreItem xmlns:ds="http://schemas.openxmlformats.org/officeDocument/2006/customXml" ds:itemID="{AF7ED81B-2DD2-4004-93FC-AE5F14E131A3}">
  <ds:schemaRefs>
    <ds:schemaRef ds:uri="http://schemas.microsoft.com/sharepoint/v3/contenttype/forms"/>
  </ds:schemaRefs>
</ds:datastoreItem>
</file>

<file path=customXml/itemProps3.xml><?xml version="1.0" encoding="utf-8"?>
<ds:datastoreItem xmlns:ds="http://schemas.openxmlformats.org/officeDocument/2006/customXml" ds:itemID="{64CFB7B4-36DD-4A52-BCEE-9FBAD8B077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2A444FD-BA18-4A9D-AD93-3979D3E93807}">
  <ds:schemaRefs>
    <ds:schemaRef ds:uri="Microsoft.SharePoint.Taxonomy.ContentTypeSync"/>
  </ds:schemaRefs>
</ds:datastoreItem>
</file>

<file path=customXml/itemProps5.xml><?xml version="1.0" encoding="utf-8"?>
<ds:datastoreItem xmlns:ds="http://schemas.openxmlformats.org/officeDocument/2006/customXml" ds:itemID="{C9AD38DC-A629-4099-B965-590982B633AA}">
  <ds:schemaRefs>
    <ds:schemaRef ds:uri="http://schemas.microsoft.com/sharepoint/events"/>
  </ds:schemaRefs>
</ds:datastoreItem>
</file>

<file path=customXml/itemProps6.xml><?xml version="1.0" encoding="utf-8"?>
<ds:datastoreItem xmlns:ds="http://schemas.openxmlformats.org/officeDocument/2006/customXml" ds:itemID="{99AE5A5B-2DDD-45AC-9827-B291383E56C5}">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15</vt:i4>
      </vt:variant>
    </vt:vector>
  </HeadingPairs>
  <TitlesOfParts>
    <vt:vector size="41" baseType="lpstr">
      <vt:lpstr>Introduction</vt:lpstr>
      <vt:lpstr>Table 1a</vt:lpstr>
      <vt:lpstr>Table 1b</vt:lpstr>
      <vt:lpstr>Table 1c</vt:lpstr>
      <vt:lpstr>Table 1d</vt:lpstr>
      <vt:lpstr>Table 1e</vt:lpstr>
      <vt:lpstr>Table 1f</vt:lpstr>
      <vt:lpstr>Table 1g</vt:lpstr>
      <vt:lpstr>Table 1h</vt:lpstr>
      <vt:lpstr>Table 1i</vt:lpstr>
      <vt:lpstr>Table 1j</vt:lpstr>
      <vt:lpstr>Table 2a</vt:lpstr>
      <vt:lpstr>Table 2b</vt:lpstr>
      <vt:lpstr>Table 2c</vt:lpstr>
      <vt:lpstr>Table 3a</vt:lpstr>
      <vt:lpstr>Table 3b</vt:lpstr>
      <vt:lpstr>Table 3c</vt:lpstr>
      <vt:lpstr>Table 4</vt:lpstr>
      <vt:lpstr>Table 5</vt:lpstr>
      <vt:lpstr>Table 6</vt:lpstr>
      <vt:lpstr>Table 7a</vt:lpstr>
      <vt:lpstr>Table 7b</vt:lpstr>
      <vt:lpstr>Table 8a</vt:lpstr>
      <vt:lpstr>Table 8b</vt:lpstr>
      <vt:lpstr>Table 8c</vt:lpstr>
      <vt:lpstr>Appendix 1</vt:lpstr>
      <vt:lpstr>Introduction!Print_Area</vt:lpstr>
      <vt:lpstr>'Table 1a'!Print_Area</vt:lpstr>
      <vt:lpstr>'Table 1b'!Print_Area</vt:lpstr>
      <vt:lpstr>'Table 1c'!Print_Area</vt:lpstr>
      <vt:lpstr>'Table 1d'!Print_Area</vt:lpstr>
      <vt:lpstr>'Table 1e'!Print_Area</vt:lpstr>
      <vt:lpstr>'Table 1i'!Print_Area</vt:lpstr>
      <vt:lpstr>'Table 1j'!Print_Area</vt:lpstr>
      <vt:lpstr>'Table 2b'!Print_Area</vt:lpstr>
      <vt:lpstr>'Table 2c'!Print_Area</vt:lpstr>
      <vt:lpstr>'Table 3b'!Print_Area</vt:lpstr>
      <vt:lpstr>'Table 3c'!Print_Area</vt:lpstr>
      <vt:lpstr>'Table 6'!Print_Area</vt:lpstr>
      <vt:lpstr>'Table 7a'!Print_Area</vt:lpstr>
      <vt:lpstr>'Table 7b'!Print_Area</vt:lpstr>
    </vt:vector>
  </TitlesOfParts>
  <Manager/>
  <Company>Health &amp; Social Care Information Centre</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Hayton, Andrew</dc:creator>
  <cp:keywords/>
  <dc:description/>
  <cp:lastModifiedBy>Alex Tootle</cp:lastModifiedBy>
  <cp:revision/>
  <dcterms:created xsi:type="dcterms:W3CDTF">2015-08-04T09:33:40Z</dcterms:created>
  <dcterms:modified xsi:type="dcterms:W3CDTF">2022-10-14T14:44:41Z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0x010100CE61D9DC7AFC6844B595FD0A55B75DF70200F2B591289F36254DB94C702449E18399</vt:lpwstr>
  </property>
  <property fmtid="{D5CDD505-2E9C-101B-9397-08002B2CF9AE}" pid="3" name="_dlc_DocIdItemGuid">
    <vt:lpwstr>9c773b30-0d4c-4789-840e-e242daa5c6e9</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14;#Document|6113f30c-7b54-4978-b917-a373efb61b62</vt:lpwstr>
  </property>
  <property fmtid="{D5CDD505-2E9C-101B-9397-08002B2CF9AE}" pid="7" name="PortfolioCode">
    <vt:lpwstr/>
  </property>
  <property fmtid="{D5CDD505-2E9C-101B-9397-08002B2CF9AE}" pid="8" name="SharedWithUsers">
    <vt:lpwstr>85;#Louise Hick</vt:lpwstr>
  </property>
  <property fmtid="{D5CDD505-2E9C-101B-9397-08002B2CF9AE}" pid="9" name="MediaServiceImageTags">
    <vt:lpwstr/>
  </property>
  <property fmtid="{D5CDD505-2E9C-101B-9397-08002B2CF9AE}" pid="10" name="lcf76f155ced4ddcb4097134ff3c332f">
    <vt:lpwstr/>
  </property>
</Properties>
</file>